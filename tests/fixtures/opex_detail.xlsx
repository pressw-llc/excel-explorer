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tegor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Traders</t>
        </is>
      </c>
    </row>
    <row r="2">
      <c r="A2" t="inlineStr">
        <is>
          <t>Operating Expenses Detail</t>
        </is>
      </c>
    </row>
    <row r="3">
      <c r="A3" t="inlineStr">
        <is>
          <t>Portland</t>
        </is>
      </c>
    </row>
    <row r="5">
      <c r="A5" s="1" t="inlineStr">
        <is>
          <t>Date</t>
        </is>
      </c>
      <c r="B5" s="1" t="inlineStr">
        <is>
          <t>Reference</t>
        </is>
      </c>
      <c r="C5" s="1" t="inlineStr">
        <is>
          <t>Description</t>
        </is>
      </c>
      <c r="D5" s="1" t="inlineStr">
        <is>
          <t>Amount</t>
        </is>
      </c>
      <c r="E5" s="1" t="inlineStr">
        <is>
          <t>Vendor</t>
        </is>
      </c>
      <c r="F5" s="1" t="inlineStr">
        <is>
          <t>Category</t>
        </is>
      </c>
    </row>
    <row r="6">
      <c r="A6" s="2" t="n">
        <v>45666</v>
      </c>
      <c r="B6" t="inlineStr">
        <is>
          <t>T2025-01-095367</t>
        </is>
      </c>
      <c r="C6" t="inlineStr">
        <is>
          <t>V:USFoods B:77281934</t>
        </is>
      </c>
      <c r="D6" t="n">
        <v>3856.33</v>
      </c>
      <c r="E6">
        <f>TRIM(IFERROR(LEFT(C6,FIND(" ",C6)),C6))</f>
        <v/>
      </c>
      <c r="F6">
        <f>IFERROR(VLOOKUP(E6,Categories!A:B,2,FALSE),"Other")</f>
        <v/>
      </c>
    </row>
    <row r="7">
      <c r="A7" s="2" t="n">
        <v>45661</v>
      </c>
      <c r="B7" t="inlineStr">
        <is>
          <t>T2025-01-046442</t>
        </is>
      </c>
      <c r="C7" t="inlineStr">
        <is>
          <t>V:Sysco B:44829103</t>
        </is>
      </c>
      <c r="D7" t="n">
        <v>1926.67</v>
      </c>
      <c r="E7">
        <f>TRIM(IFERROR(LEFT(C7,FIND(" ",C7)),C7))</f>
        <v/>
      </c>
      <c r="F7">
        <f>IFERROR(VLOOKUP(E7,Categories!A:B,2,FALSE),"Other")</f>
        <v/>
      </c>
    </row>
    <row r="8">
      <c r="A8" s="2" t="n">
        <v>45668</v>
      </c>
      <c r="B8" t="inlineStr">
        <is>
          <t>T2025-01-116524</t>
        </is>
      </c>
      <c r="C8" t="inlineStr">
        <is>
          <t>V:Sysco B:44829103</t>
        </is>
      </c>
      <c r="D8" t="n">
        <v>840.33</v>
      </c>
      <c r="E8">
        <f>TRIM(IFERROR(LEFT(C8,FIND(" ",C8)),C8))</f>
        <v/>
      </c>
      <c r="F8">
        <f>IFERROR(VLOOKUP(E8,Categories!A:B,2,FALSE),"Other")</f>
        <v/>
      </c>
    </row>
    <row r="9">
      <c r="A9" s="2" t="n">
        <v>45675</v>
      </c>
      <c r="B9" t="inlineStr">
        <is>
          <t>T2025-01-183683</t>
        </is>
      </c>
      <c r="C9" t="inlineStr">
        <is>
          <t>V:InsureCo B:99281734</t>
        </is>
      </c>
      <c r="D9" t="n">
        <v>3523.36</v>
      </c>
      <c r="E9">
        <f>TRIM(IFERROR(LEFT(C9,FIND(" ",C9)),C9))</f>
        <v/>
      </c>
      <c r="F9">
        <f>IFERROR(VLOOKUP(E9,Categories!A:B,2,FALSE),"Other")</f>
        <v/>
      </c>
    </row>
    <row r="10">
      <c r="A10" s="2" t="n">
        <v>45658</v>
      </c>
      <c r="B10" t="inlineStr">
        <is>
          <t>T2025-01-017186</t>
        </is>
      </c>
      <c r="C10" t="inlineStr">
        <is>
          <t>V:PowerGrid B:22918374</t>
        </is>
      </c>
      <c r="D10" t="n">
        <v>3879.26</v>
      </c>
      <c r="E10">
        <f>TRIM(IFERROR(LEFT(C10,FIND(" ",C10)),C10))</f>
        <v/>
      </c>
      <c r="F10">
        <f>IFERROR(VLOOKUP(E10,Categories!A:B,2,FALSE),"Other")</f>
        <v/>
      </c>
    </row>
    <row r="11">
      <c r="A11" s="2" t="n">
        <v>45660</v>
      </c>
      <c r="B11" t="inlineStr">
        <is>
          <t>T2025-01-038345</t>
        </is>
      </c>
      <c r="C11" t="inlineStr">
        <is>
          <t>V:Sysco B:44829103</t>
        </is>
      </c>
      <c r="D11" t="n">
        <v>1611.52</v>
      </c>
      <c r="E11">
        <f>TRIM(IFERROR(LEFT(C11,FIND(" ",C11)),C11))</f>
        <v/>
      </c>
      <c r="F11">
        <f>IFERROR(VLOOKUP(E11,Categories!A:B,2,FALSE),"Other")</f>
        <v/>
      </c>
    </row>
    <row r="12">
      <c r="A12" s="2" t="n">
        <v>45661</v>
      </c>
      <c r="B12" t="inlineStr">
        <is>
          <t>T2025-01-043329</t>
        </is>
      </c>
      <c r="C12" t="inlineStr">
        <is>
          <t>V:Sysco B:44829103</t>
        </is>
      </c>
      <c r="D12" t="n">
        <v>509.18</v>
      </c>
      <c r="E12">
        <f>TRIM(IFERROR(LEFT(C12,FIND(" ",C12)),C12))</f>
        <v/>
      </c>
      <c r="F12">
        <f>IFERROR(VLOOKUP(E12,Categories!A:B,2,FALSE),"Other")</f>
        <v/>
      </c>
    </row>
    <row r="13">
      <c r="A13" s="2" t="n">
        <v>45662</v>
      </c>
      <c r="B13" t="inlineStr">
        <is>
          <t>T2025-01-058055</t>
        </is>
      </c>
      <c r="C13" t="inlineStr">
        <is>
          <t>Pay date 2/15</t>
        </is>
      </c>
      <c r="D13" t="n">
        <v>10042.61</v>
      </c>
      <c r="E13">
        <f>TRIM(IFERROR(LEFT(C13,FIND(" ",C13)),C13))</f>
        <v/>
      </c>
      <c r="F13">
        <f>IFERROR(VLOOKUP(E13,Categories!A:B,2,FALSE),"Other")</f>
        <v/>
      </c>
    </row>
    <row r="14">
      <c r="A14" s="2" t="n">
        <v>45676</v>
      </c>
      <c r="B14" t="inlineStr">
        <is>
          <t>T2025-01-191602</t>
        </is>
      </c>
      <c r="C14" t="inlineStr">
        <is>
          <t>V:WaterWorks B:11827364</t>
        </is>
      </c>
      <c r="D14" t="n">
        <v>1363.34</v>
      </c>
      <c r="E14">
        <f>TRIM(IFERROR(LEFT(C14,FIND(" ",C14)),C14))</f>
        <v/>
      </c>
      <c r="F14">
        <f>IFERROR(VLOOKUP(E14,Categories!A:B,2,FALSE),"Other")</f>
        <v/>
      </c>
    </row>
    <row r="15">
      <c r="A15" s="2" t="n">
        <v>45682</v>
      </c>
      <c r="B15" t="inlineStr">
        <is>
          <t>T2025-01-258912</t>
        </is>
      </c>
      <c r="C15" t="inlineStr">
        <is>
          <t>V:RepairPro B:66738291</t>
        </is>
      </c>
      <c r="D15" t="n">
        <v>1750.14</v>
      </c>
      <c r="E15">
        <f>TRIM(IFERROR(LEFT(C15,FIND(" ",C15)),C15))</f>
        <v/>
      </c>
      <c r="F15">
        <f>IFERROR(VLOOKUP(E15,Categories!A:B,2,FALSE),"Other")</f>
        <v/>
      </c>
    </row>
    <row r="16">
      <c r="A16" s="2" t="n">
        <v>45664</v>
      </c>
      <c r="B16" t="inlineStr">
        <is>
          <t>T2025-01-076165</t>
        </is>
      </c>
      <c r="C16" t="inlineStr">
        <is>
          <t>V:MarketingCo B:44738291</t>
        </is>
      </c>
      <c r="D16" t="n">
        <v>3211.84</v>
      </c>
      <c r="E16">
        <f>TRIM(IFERROR(LEFT(C16,FIND(" ",C16)),C16))</f>
        <v/>
      </c>
      <c r="F16">
        <f>IFERROR(VLOOKUP(E16,Categories!A:B,2,FALSE),"Other")</f>
        <v/>
      </c>
    </row>
    <row r="17">
      <c r="A17" s="2" t="n">
        <v>45658</v>
      </c>
      <c r="B17" t="inlineStr">
        <is>
          <t>T2025-01-019400</t>
        </is>
      </c>
      <c r="C17" t="inlineStr">
        <is>
          <t>V:PowerGrid B:22918374</t>
        </is>
      </c>
      <c r="D17" t="n">
        <v>4470.06</v>
      </c>
      <c r="E17">
        <f>TRIM(IFERROR(LEFT(C17,FIND(" ",C17)),C17))</f>
        <v/>
      </c>
      <c r="F17">
        <f>IFERROR(VLOOKUP(E17,Categories!A:B,2,FALSE),"Other")</f>
        <v/>
      </c>
    </row>
    <row r="18">
      <c r="A18" s="2" t="n">
        <v>45671</v>
      </c>
      <c r="B18" t="inlineStr">
        <is>
          <t>T2025-01-148964</t>
        </is>
      </c>
      <c r="C18" t="inlineStr">
        <is>
          <t>Pay date 1/15</t>
        </is>
      </c>
      <c r="D18" t="n">
        <v>13575.27</v>
      </c>
      <c r="E18">
        <f>TRIM(IFERROR(LEFT(C18,FIND(" ",C18)),C18))</f>
        <v/>
      </c>
      <c r="F18">
        <f>IFERROR(VLOOKUP(E18,Categories!A:B,2,FALSE),"Other")</f>
        <v/>
      </c>
    </row>
    <row r="19">
      <c r="A19" s="2" t="n">
        <v>45674</v>
      </c>
      <c r="B19" t="inlineStr">
        <is>
          <t>T2025-01-173973</t>
        </is>
      </c>
      <c r="C19" t="inlineStr">
        <is>
          <t>Pay date 1/15</t>
        </is>
      </c>
      <c r="D19" t="n">
        <v>11570.46</v>
      </c>
      <c r="E19">
        <f>TRIM(IFERROR(LEFT(C19,FIND(" ",C19)),C19))</f>
        <v/>
      </c>
      <c r="F19">
        <f>IFERROR(VLOOKUP(E19,Categories!A:B,2,FALSE),"Other")</f>
        <v/>
      </c>
    </row>
    <row r="20">
      <c r="A20" s="2" t="n">
        <v>45681</v>
      </c>
      <c r="B20" t="inlineStr">
        <is>
          <t>T2025-01-245290</t>
        </is>
      </c>
      <c r="C20" t="inlineStr">
        <is>
          <t>V:USFoods B:77281934</t>
        </is>
      </c>
      <c r="D20" t="n">
        <v>4572.55</v>
      </c>
      <c r="E20">
        <f>TRIM(IFERROR(LEFT(C20,FIND(" ",C20)),C20))</f>
        <v/>
      </c>
      <c r="F20">
        <f>IFERROR(VLOOKUP(E20,Categories!A:B,2,FALSE),"Other")</f>
        <v/>
      </c>
    </row>
    <row r="21">
      <c r="A21" s="2" t="n">
        <v>45663</v>
      </c>
      <c r="B21" t="inlineStr">
        <is>
          <t>T2025-01-067409</t>
        </is>
      </c>
      <c r="C21" t="inlineStr">
        <is>
          <t>V:InsureCo B:99281734</t>
        </is>
      </c>
      <c r="D21" t="n">
        <v>1717.73</v>
      </c>
      <c r="E21">
        <f>TRIM(IFERROR(LEFT(C21,FIND(" ",C21)),C21))</f>
        <v/>
      </c>
      <c r="F21">
        <f>IFERROR(VLOOKUP(E21,Categories!A:B,2,FALSE),"Other")</f>
        <v/>
      </c>
    </row>
    <row r="22">
      <c r="A22" s="2" t="n">
        <v>45660</v>
      </c>
      <c r="B22" t="inlineStr">
        <is>
          <t>T2025-01-036506</t>
        </is>
      </c>
      <c r="C22" t="inlineStr">
        <is>
          <t>Pay date 2/1</t>
        </is>
      </c>
      <c r="D22" t="n">
        <v>12012.18</v>
      </c>
      <c r="E22">
        <f>TRIM(IFERROR(LEFT(C22,FIND(" ",C22)),C22))</f>
        <v/>
      </c>
      <c r="F22">
        <f>IFERROR(VLOOKUP(E22,Categories!A:B,2,FALSE),"Other")</f>
        <v/>
      </c>
    </row>
    <row r="23">
      <c r="A23" s="2" t="n">
        <v>45658</v>
      </c>
      <c r="B23" t="inlineStr">
        <is>
          <t>T2025-01-016955</t>
        </is>
      </c>
      <c r="C23" t="inlineStr">
        <is>
          <t>V:CleanCorp B:55192837</t>
        </is>
      </c>
      <c r="D23" t="n">
        <v>2951.7</v>
      </c>
      <c r="E23">
        <f>TRIM(IFERROR(LEFT(C23,FIND(" ",C23)),C23))</f>
        <v/>
      </c>
      <c r="F23">
        <f>IFERROR(VLOOKUP(E23,Categories!A:B,2,FALSE),"Other")</f>
        <v/>
      </c>
    </row>
    <row r="24">
      <c r="A24" s="2" t="n">
        <v>45658</v>
      </c>
      <c r="B24" t="inlineStr">
        <is>
          <t>T2025-01-017647</t>
        </is>
      </c>
      <c r="C24" t="inlineStr">
        <is>
          <t>V:InsureCo B:99281734</t>
        </is>
      </c>
      <c r="D24" t="n">
        <v>4987.89</v>
      </c>
      <c r="E24">
        <f>TRIM(IFERROR(LEFT(C24,FIND(" ",C24)),C24))</f>
        <v/>
      </c>
      <c r="F24">
        <f>IFERROR(VLOOKUP(E24,Categories!A:B,2,FALSE),"Other")</f>
        <v/>
      </c>
    </row>
    <row r="25">
      <c r="A25" s="2" t="n">
        <v>45675</v>
      </c>
      <c r="B25" t="inlineStr">
        <is>
          <t>T2025-01-181978</t>
        </is>
      </c>
      <c r="C25" t="inlineStr">
        <is>
          <t>V:OfficeMax B:88372619</t>
        </is>
      </c>
      <c r="D25" t="n">
        <v>3632.13</v>
      </c>
      <c r="E25">
        <f>TRIM(IFERROR(LEFT(C25,FIND(" ",C25)),C25))</f>
        <v/>
      </c>
      <c r="F25">
        <f>IFERROR(VLOOKUP(E25,Categories!A:B,2,FALSE),"Other")</f>
        <v/>
      </c>
    </row>
    <row r="26">
      <c r="A26" s="2" t="n">
        <v>45678</v>
      </c>
      <c r="B26" t="inlineStr">
        <is>
          <t>T2025-01-214823</t>
        </is>
      </c>
      <c r="C26" t="inlineStr">
        <is>
          <t>V:RepairPro B:66738291</t>
        </is>
      </c>
      <c r="D26" t="n">
        <v>4959.38</v>
      </c>
      <c r="E26">
        <f>TRIM(IFERROR(LEFT(C26,FIND(" ",C26)),C26))</f>
        <v/>
      </c>
      <c r="F26">
        <f>IFERROR(VLOOKUP(E26,Categories!A:B,2,FALSE),"Other")</f>
        <v/>
      </c>
    </row>
    <row r="27">
      <c r="A27" s="2" t="n">
        <v>45675</v>
      </c>
      <c r="B27" t="inlineStr">
        <is>
          <t>T2025-01-183519</t>
        </is>
      </c>
      <c r="C27" t="inlineStr">
        <is>
          <t>V:WaterWorks B:11827364</t>
        </is>
      </c>
      <c r="D27" t="n">
        <v>4904.34</v>
      </c>
      <c r="E27">
        <f>TRIM(IFERROR(LEFT(C27,FIND(" ",C27)),C27))</f>
        <v/>
      </c>
      <c r="F27">
        <f>IFERROR(VLOOKUP(E27,Categories!A:B,2,FALSE),"Other")</f>
        <v/>
      </c>
    </row>
    <row r="28">
      <c r="A28" s="2" t="n">
        <v>45675</v>
      </c>
      <c r="B28" t="inlineStr">
        <is>
          <t>T2025-01-188557</t>
        </is>
      </c>
      <c r="C28" t="inlineStr">
        <is>
          <t>V:WaterWorks B:11827364</t>
        </is>
      </c>
      <c r="D28" t="n">
        <v>1924.02</v>
      </c>
      <c r="E28">
        <f>TRIM(IFERROR(LEFT(C28,FIND(" ",C28)),C28))</f>
        <v/>
      </c>
      <c r="F28">
        <f>IFERROR(VLOOKUP(E28,Categories!A:B,2,FALSE),"Other")</f>
        <v/>
      </c>
    </row>
    <row r="29">
      <c r="A29" s="2" t="n">
        <v>45659</v>
      </c>
      <c r="B29" t="inlineStr">
        <is>
          <t>T2025-01-024165</t>
        </is>
      </c>
      <c r="C29" t="inlineStr">
        <is>
          <t>V:Sysco B:44829103</t>
        </is>
      </c>
      <c r="D29" t="n">
        <v>716.9</v>
      </c>
      <c r="E29">
        <f>TRIM(IFERROR(LEFT(C29,FIND(" ",C29)),C29))</f>
        <v/>
      </c>
      <c r="F29">
        <f>IFERROR(VLOOKUP(E29,Categories!A:B,2,FALSE),"Other")</f>
        <v/>
      </c>
    </row>
    <row r="30">
      <c r="A30" s="2" t="n">
        <v>45658</v>
      </c>
      <c r="B30" t="inlineStr">
        <is>
          <t>T2025-01-015455</t>
        </is>
      </c>
      <c r="C30" t="inlineStr">
        <is>
          <t>V:RepairPro B:66738291</t>
        </is>
      </c>
      <c r="D30" t="n">
        <v>4004.5</v>
      </c>
      <c r="E30">
        <f>TRIM(IFERROR(LEFT(C30,FIND(" ",C30)),C30))</f>
        <v/>
      </c>
      <c r="F30">
        <f>IFERROR(VLOOKUP(E30,Categories!A:B,2,FALSE),"Other")</f>
        <v/>
      </c>
    </row>
    <row r="31">
      <c r="A31" s="2" t="n">
        <v>45671</v>
      </c>
      <c r="B31" t="inlineStr">
        <is>
          <t>T2025-01-142025</t>
        </is>
      </c>
      <c r="C31" t="inlineStr">
        <is>
          <t>Pay date 1/15</t>
        </is>
      </c>
      <c r="D31" t="n">
        <v>8760.35</v>
      </c>
      <c r="E31">
        <f>TRIM(IFERROR(LEFT(C31,FIND(" ",C31)),C31))</f>
        <v/>
      </c>
      <c r="F31">
        <f>IFERROR(VLOOKUP(E31,Categories!A:B,2,FALSE),"Other")</f>
        <v/>
      </c>
    </row>
    <row r="32">
      <c r="A32" s="2" t="n">
        <v>45674</v>
      </c>
      <c r="B32" t="inlineStr">
        <is>
          <t>T2025-01-172358</t>
        </is>
      </c>
      <c r="C32" t="inlineStr">
        <is>
          <t>V:InsureCo B:99281734</t>
        </is>
      </c>
      <c r="D32" t="n">
        <v>3549.91</v>
      </c>
      <c r="E32">
        <f>TRIM(IFERROR(LEFT(C32,FIND(" ",C32)),C32))</f>
        <v/>
      </c>
      <c r="F32">
        <f>IFERROR(VLOOKUP(E32,Categories!A:B,2,FALSE),"Other")</f>
        <v/>
      </c>
    </row>
    <row r="33">
      <c r="A33" s="2" t="n">
        <v>45671</v>
      </c>
      <c r="B33" t="inlineStr">
        <is>
          <t>T2025-01-147184</t>
        </is>
      </c>
      <c r="C33" t="inlineStr">
        <is>
          <t>V:Sysco B:44829103</t>
        </is>
      </c>
      <c r="D33" t="n">
        <v>3988.89</v>
      </c>
      <c r="E33">
        <f>TRIM(IFERROR(LEFT(C33,FIND(" ",C33)),C33))</f>
        <v/>
      </c>
      <c r="F33">
        <f>IFERROR(VLOOKUP(E33,Categories!A:B,2,FALSE),"Other")</f>
        <v/>
      </c>
    </row>
    <row r="34">
      <c r="A34" s="2" t="n">
        <v>45660</v>
      </c>
      <c r="B34" t="inlineStr">
        <is>
          <t>T2025-01-037622</t>
        </is>
      </c>
      <c r="C34" t="inlineStr">
        <is>
          <t>V:OfficeMax B:88372619</t>
        </is>
      </c>
      <c r="D34" t="n">
        <v>3486.32</v>
      </c>
      <c r="E34">
        <f>TRIM(IFERROR(LEFT(C34,FIND(" ",C34)),C34))</f>
        <v/>
      </c>
      <c r="F34">
        <f>IFERROR(VLOOKUP(E34,Categories!A:B,2,FALSE),"Other")</f>
        <v/>
      </c>
    </row>
    <row r="35">
      <c r="A35" s="2" t="n">
        <v>45658</v>
      </c>
      <c r="B35" t="inlineStr">
        <is>
          <t>T2025-01-018741</t>
        </is>
      </c>
      <c r="C35" t="inlineStr">
        <is>
          <t>V:InsureCo B:99281734</t>
        </is>
      </c>
      <c r="D35" t="n">
        <v>1349.57</v>
      </c>
      <c r="E35">
        <f>TRIM(IFERROR(LEFT(C35,FIND(" ",C35)),C35))</f>
        <v/>
      </c>
      <c r="F35">
        <f>IFERROR(VLOOKUP(E35,Categories!A:B,2,FALSE),"Other")</f>
        <v/>
      </c>
    </row>
    <row r="36">
      <c r="A36" s="2" t="n">
        <v>45659</v>
      </c>
      <c r="B36" t="inlineStr">
        <is>
          <t>T2025-01-021389</t>
        </is>
      </c>
      <c r="C36" t="inlineStr">
        <is>
          <t>Pay date 2/15</t>
        </is>
      </c>
      <c r="D36" t="n">
        <v>10898.5</v>
      </c>
      <c r="E36">
        <f>TRIM(IFERROR(LEFT(C36,FIND(" ",C36)),C36))</f>
        <v/>
      </c>
      <c r="F36">
        <f>IFERROR(VLOOKUP(E36,Categories!A:B,2,FALSE),"Other")</f>
        <v/>
      </c>
    </row>
    <row r="37">
      <c r="A37" s="2" t="n">
        <v>45709</v>
      </c>
      <c r="B37" t="inlineStr">
        <is>
          <t>T2025-02-217865</t>
        </is>
      </c>
      <c r="C37" t="inlineStr">
        <is>
          <t>V:PepsiCo B:33910284</t>
        </is>
      </c>
      <c r="D37" t="n">
        <v>4425.21</v>
      </c>
      <c r="E37">
        <f>TRIM(IFERROR(LEFT(C37,FIND(" ",C37)),C37))</f>
        <v/>
      </c>
      <c r="F37">
        <f>IFERROR(VLOOKUP(E37,Categories!A:B,2,FALSE),"Other")</f>
        <v/>
      </c>
    </row>
    <row r="38">
      <c r="A38" s="2" t="n">
        <v>45691</v>
      </c>
      <c r="B38" t="inlineStr">
        <is>
          <t>T2025-02-034849</t>
        </is>
      </c>
      <c r="C38" t="inlineStr">
        <is>
          <t>Pay date 2/1</t>
        </is>
      </c>
      <c r="D38" t="n">
        <v>9007.889999999999</v>
      </c>
      <c r="E38">
        <f>TRIM(IFERROR(LEFT(C38,FIND(" ",C38)),C38))</f>
        <v/>
      </c>
      <c r="F38">
        <f>IFERROR(VLOOKUP(E38,Categories!A:B,2,FALSE),"Other")</f>
        <v/>
      </c>
    </row>
    <row r="39">
      <c r="A39" s="2" t="n">
        <v>45712</v>
      </c>
      <c r="B39" t="inlineStr">
        <is>
          <t>T2025-02-241936</t>
        </is>
      </c>
      <c r="C39" t="inlineStr">
        <is>
          <t>V:USFoods B:77281934</t>
        </is>
      </c>
      <c r="D39" t="n">
        <v>4132.55</v>
      </c>
      <c r="E39">
        <f>TRIM(IFERROR(LEFT(C39,FIND(" ",C39)),C39))</f>
        <v/>
      </c>
      <c r="F39">
        <f>IFERROR(VLOOKUP(E39,Categories!A:B,2,FALSE),"Other")</f>
        <v/>
      </c>
    </row>
    <row r="40">
      <c r="A40" s="2" t="n">
        <v>45713</v>
      </c>
      <c r="B40" t="inlineStr">
        <is>
          <t>T2025-02-256016</t>
        </is>
      </c>
      <c r="C40" t="inlineStr">
        <is>
          <t>V:OfficeMax B:88372619</t>
        </is>
      </c>
      <c r="D40" t="n">
        <v>1966.68</v>
      </c>
      <c r="E40">
        <f>TRIM(IFERROR(LEFT(C40,FIND(" ",C40)),C40))</f>
        <v/>
      </c>
      <c r="F40">
        <f>IFERROR(VLOOKUP(E40,Categories!A:B,2,FALSE),"Other")</f>
        <v/>
      </c>
    </row>
    <row r="41">
      <c r="A41" s="2" t="n">
        <v>45693</v>
      </c>
      <c r="B41" t="inlineStr">
        <is>
          <t>T2025-02-057377</t>
        </is>
      </c>
      <c r="C41" t="inlineStr">
        <is>
          <t>Pay date 1/15</t>
        </is>
      </c>
      <c r="D41" t="n">
        <v>10038.36</v>
      </c>
      <c r="E41">
        <f>TRIM(IFERROR(LEFT(C41,FIND(" ",C41)),C41))</f>
        <v/>
      </c>
      <c r="F41">
        <f>IFERROR(VLOOKUP(E41,Categories!A:B,2,FALSE),"Other")</f>
        <v/>
      </c>
    </row>
    <row r="42">
      <c r="A42" s="2" t="n">
        <v>45700</v>
      </c>
      <c r="B42" t="inlineStr">
        <is>
          <t>T2025-02-126533</t>
        </is>
      </c>
      <c r="C42" t="inlineStr">
        <is>
          <t>V:PepsiCo B:33910284</t>
        </is>
      </c>
      <c r="D42" t="n">
        <v>2697.86</v>
      </c>
      <c r="E42">
        <f>TRIM(IFERROR(LEFT(C42,FIND(" ",C42)),C42))</f>
        <v/>
      </c>
      <c r="F42">
        <f>IFERROR(VLOOKUP(E42,Categories!A:B,2,FALSE),"Other")</f>
        <v/>
      </c>
    </row>
    <row r="43">
      <c r="A43" s="2" t="n">
        <v>45705</v>
      </c>
      <c r="B43" t="inlineStr">
        <is>
          <t>T2025-02-177328</t>
        </is>
      </c>
      <c r="C43" t="inlineStr">
        <is>
          <t>V:USFoods B:77281934</t>
        </is>
      </c>
      <c r="D43" t="n">
        <v>3166.61</v>
      </c>
      <c r="E43">
        <f>TRIM(IFERROR(LEFT(C43,FIND(" ",C43)),C43))</f>
        <v/>
      </c>
      <c r="F43">
        <f>IFERROR(VLOOKUP(E43,Categories!A:B,2,FALSE),"Other")</f>
        <v/>
      </c>
    </row>
    <row r="44">
      <c r="A44" s="2" t="n">
        <v>45702</v>
      </c>
      <c r="B44" t="inlineStr">
        <is>
          <t>T2025-02-148450</t>
        </is>
      </c>
      <c r="C44" t="inlineStr">
        <is>
          <t>V:Sysco B:44829103</t>
        </is>
      </c>
      <c r="D44" t="n">
        <v>3719.73</v>
      </c>
      <c r="E44">
        <f>TRIM(IFERROR(LEFT(C44,FIND(" ",C44)),C44))</f>
        <v/>
      </c>
      <c r="F44">
        <f>IFERROR(VLOOKUP(E44,Categories!A:B,2,FALSE),"Other")</f>
        <v/>
      </c>
    </row>
    <row r="45">
      <c r="A45" s="2" t="n">
        <v>45710</v>
      </c>
      <c r="B45" t="inlineStr">
        <is>
          <t>T2025-02-228391</t>
        </is>
      </c>
      <c r="C45" t="inlineStr">
        <is>
          <t>V:Sysco B:44829103</t>
        </is>
      </c>
      <c r="D45" t="n">
        <v>1780.22</v>
      </c>
      <c r="E45">
        <f>TRIM(IFERROR(LEFT(C45,FIND(" ",C45)),C45))</f>
        <v/>
      </c>
      <c r="F45">
        <f>IFERROR(VLOOKUP(E45,Categories!A:B,2,FALSE),"Other")</f>
        <v/>
      </c>
    </row>
    <row r="46">
      <c r="A46" s="2" t="n">
        <v>45698</v>
      </c>
      <c r="B46" t="inlineStr">
        <is>
          <t>T2025-02-101462</t>
        </is>
      </c>
      <c r="C46" t="inlineStr">
        <is>
          <t>V:PowerGrid B:22918374</t>
        </is>
      </c>
      <c r="D46" t="n">
        <v>3965.99</v>
      </c>
      <c r="E46">
        <f>TRIM(IFERROR(LEFT(C46,FIND(" ",C46)),C46))</f>
        <v/>
      </c>
      <c r="F46">
        <f>IFERROR(VLOOKUP(E46,Categories!A:B,2,FALSE),"Other")</f>
        <v/>
      </c>
    </row>
    <row r="47">
      <c r="A47" s="2" t="n">
        <v>45694</v>
      </c>
      <c r="B47" t="inlineStr">
        <is>
          <t>T2025-02-069467</t>
        </is>
      </c>
      <c r="C47" t="inlineStr">
        <is>
          <t>V:OfficeMax B:88372619</t>
        </is>
      </c>
      <c r="D47" t="n">
        <v>1658.04</v>
      </c>
      <c r="E47">
        <f>TRIM(IFERROR(LEFT(C47,FIND(" ",C47)),C47))</f>
        <v/>
      </c>
      <c r="F47">
        <f>IFERROR(VLOOKUP(E47,Categories!A:B,2,FALSE),"Other")</f>
        <v/>
      </c>
    </row>
    <row r="48">
      <c r="A48" s="2" t="n">
        <v>45705</v>
      </c>
      <c r="B48" t="inlineStr">
        <is>
          <t>T2025-02-179194</t>
        </is>
      </c>
      <c r="C48" t="inlineStr">
        <is>
          <t>V:OfficeMax B:88372619</t>
        </is>
      </c>
      <c r="D48" t="n">
        <v>729.99</v>
      </c>
      <c r="E48">
        <f>TRIM(IFERROR(LEFT(C48,FIND(" ",C48)),C48))</f>
        <v/>
      </c>
      <c r="F48">
        <f>IFERROR(VLOOKUP(E48,Categories!A:B,2,FALSE),"Other")</f>
        <v/>
      </c>
    </row>
    <row r="49">
      <c r="A49" s="2" t="n">
        <v>45692</v>
      </c>
      <c r="B49" t="inlineStr">
        <is>
          <t>T2025-02-044684</t>
        </is>
      </c>
      <c r="C49" t="inlineStr">
        <is>
          <t>V:OfficeMax B:88372619</t>
        </is>
      </c>
      <c r="D49" t="n">
        <v>3645.31</v>
      </c>
      <c r="E49">
        <f>TRIM(IFERROR(LEFT(C49,FIND(" ",C49)),C49))</f>
        <v/>
      </c>
      <c r="F49">
        <f>IFERROR(VLOOKUP(E49,Categories!A:B,2,FALSE),"Other")</f>
        <v/>
      </c>
    </row>
    <row r="50">
      <c r="A50" s="2" t="n">
        <v>45707</v>
      </c>
      <c r="B50" t="inlineStr">
        <is>
          <t>T2025-02-199295</t>
        </is>
      </c>
      <c r="C50" t="inlineStr">
        <is>
          <t>V:InsureCo B:99281734</t>
        </is>
      </c>
      <c r="D50" t="n">
        <v>509.64</v>
      </c>
      <c r="E50">
        <f>TRIM(IFERROR(LEFT(C50,FIND(" ",C50)),C50))</f>
        <v/>
      </c>
      <c r="F50">
        <f>IFERROR(VLOOKUP(E50,Categories!A:B,2,FALSE),"Other")</f>
        <v/>
      </c>
    </row>
    <row r="51">
      <c r="A51" s="2" t="n">
        <v>45696</v>
      </c>
      <c r="B51" t="inlineStr">
        <is>
          <t>T2025-02-085334</t>
        </is>
      </c>
      <c r="C51" t="inlineStr">
        <is>
          <t>V:CleanCorp B:55192837</t>
        </is>
      </c>
      <c r="D51" t="n">
        <v>4438.15</v>
      </c>
      <c r="E51">
        <f>TRIM(IFERROR(LEFT(C51,FIND(" ",C51)),C51))</f>
        <v/>
      </c>
      <c r="F51">
        <f>IFERROR(VLOOKUP(E51,Categories!A:B,2,FALSE),"Other")</f>
        <v/>
      </c>
    </row>
    <row r="52">
      <c r="A52" s="2" t="n">
        <v>45701</v>
      </c>
      <c r="B52" t="inlineStr">
        <is>
          <t>T2025-02-132316</t>
        </is>
      </c>
      <c r="C52" t="inlineStr">
        <is>
          <t>V:Sysco B:44829103</t>
        </is>
      </c>
      <c r="D52" t="n">
        <v>4694.4</v>
      </c>
      <c r="E52">
        <f>TRIM(IFERROR(LEFT(C52,FIND(" ",C52)),C52))</f>
        <v/>
      </c>
      <c r="F52">
        <f>IFERROR(VLOOKUP(E52,Categories!A:B,2,FALSE),"Other")</f>
        <v/>
      </c>
    </row>
    <row r="53">
      <c r="A53" s="2" t="n">
        <v>45695</v>
      </c>
      <c r="B53" t="inlineStr">
        <is>
          <t>T2025-02-071281</t>
        </is>
      </c>
      <c r="C53" t="inlineStr">
        <is>
          <t>V:OfficeMax B:88372619</t>
        </is>
      </c>
      <c r="D53" t="n">
        <v>1037.52</v>
      </c>
      <c r="E53">
        <f>TRIM(IFERROR(LEFT(C53,FIND(" ",C53)),C53))</f>
        <v/>
      </c>
      <c r="F53">
        <f>IFERROR(VLOOKUP(E53,Categories!A:B,2,FALSE),"Other")</f>
        <v/>
      </c>
    </row>
    <row r="54">
      <c r="A54" s="2" t="n">
        <v>45695</v>
      </c>
      <c r="B54" t="inlineStr">
        <is>
          <t>T2025-02-072394</t>
        </is>
      </c>
      <c r="C54" t="inlineStr">
        <is>
          <t>V:RepairPro B:66738291</t>
        </is>
      </c>
      <c r="D54" t="n">
        <v>2844.89</v>
      </c>
      <c r="E54">
        <f>TRIM(IFERROR(LEFT(C54,FIND(" ",C54)),C54))</f>
        <v/>
      </c>
      <c r="F54">
        <f>IFERROR(VLOOKUP(E54,Categories!A:B,2,FALSE),"Other")</f>
        <v/>
      </c>
    </row>
    <row r="55">
      <c r="A55" s="2" t="n">
        <v>45708</v>
      </c>
      <c r="B55" t="inlineStr">
        <is>
          <t>T2025-02-209809</t>
        </is>
      </c>
      <c r="C55" t="inlineStr">
        <is>
          <t>V:InsureCo B:99281734</t>
        </is>
      </c>
      <c r="D55" t="n">
        <v>464.52</v>
      </c>
      <c r="E55">
        <f>TRIM(IFERROR(LEFT(C55,FIND(" ",C55)),C55))</f>
        <v/>
      </c>
      <c r="F55">
        <f>IFERROR(VLOOKUP(E55,Categories!A:B,2,FALSE),"Other")</f>
        <v/>
      </c>
    </row>
    <row r="56">
      <c r="A56" s="2" t="n">
        <v>45693</v>
      </c>
      <c r="B56" t="inlineStr">
        <is>
          <t>T2025-02-058929</t>
        </is>
      </c>
      <c r="C56" t="inlineStr">
        <is>
          <t>Pay date 2/15</t>
        </is>
      </c>
      <c r="D56" t="n">
        <v>8948.120000000001</v>
      </c>
      <c r="E56">
        <f>TRIM(IFERROR(LEFT(C56,FIND(" ",C56)),C56))</f>
        <v/>
      </c>
      <c r="F56">
        <f>IFERROR(VLOOKUP(E56,Categories!A:B,2,FALSE),"Other")</f>
        <v/>
      </c>
    </row>
    <row r="57">
      <c r="A57" s="2" t="n">
        <v>45704</v>
      </c>
      <c r="B57" t="inlineStr">
        <is>
          <t>T2025-02-168964</t>
        </is>
      </c>
      <c r="C57" t="inlineStr">
        <is>
          <t>Pay date 2/1</t>
        </is>
      </c>
      <c r="D57" t="n">
        <v>8197.57</v>
      </c>
      <c r="E57">
        <f>TRIM(IFERROR(LEFT(C57,FIND(" ",C57)),C57))</f>
        <v/>
      </c>
      <c r="F57">
        <f>IFERROR(VLOOKUP(E57,Categories!A:B,2,FALSE),"Other")</f>
        <v/>
      </c>
    </row>
    <row r="58">
      <c r="A58" s="2" t="n">
        <v>45699</v>
      </c>
      <c r="B58" t="inlineStr">
        <is>
          <t>T2025-02-119212</t>
        </is>
      </c>
      <c r="C58" t="inlineStr">
        <is>
          <t>V:PowerGrid B:22918374</t>
        </is>
      </c>
      <c r="D58" t="n">
        <v>4576.77</v>
      </c>
      <c r="E58">
        <f>TRIM(IFERROR(LEFT(C58,FIND(" ",C58)),C58))</f>
        <v/>
      </c>
      <c r="F58">
        <f>IFERROR(VLOOKUP(E58,Categories!A:B,2,FALSE),"Other")</f>
        <v/>
      </c>
    </row>
    <row r="59">
      <c r="A59" s="2" t="n">
        <v>45693</v>
      </c>
      <c r="B59" t="inlineStr">
        <is>
          <t>T2025-02-059101</t>
        </is>
      </c>
      <c r="C59" t="inlineStr">
        <is>
          <t>V:MarketingCo B:44738291</t>
        </is>
      </c>
      <c r="D59" t="n">
        <v>3192.17</v>
      </c>
      <c r="E59">
        <f>TRIM(IFERROR(LEFT(C59,FIND(" ",C59)),C59))</f>
        <v/>
      </c>
      <c r="F59">
        <f>IFERROR(VLOOKUP(E59,Categories!A:B,2,FALSE),"Other")</f>
        <v/>
      </c>
    </row>
    <row r="60">
      <c r="A60" s="2" t="n">
        <v>45699</v>
      </c>
      <c r="B60" t="inlineStr">
        <is>
          <t>T2025-02-116908</t>
        </is>
      </c>
      <c r="C60" t="inlineStr">
        <is>
          <t>Pay date 2/1</t>
        </is>
      </c>
      <c r="D60" t="n">
        <v>12838.89</v>
      </c>
      <c r="E60">
        <f>TRIM(IFERROR(LEFT(C60,FIND(" ",C60)),C60))</f>
        <v/>
      </c>
      <c r="F60">
        <f>IFERROR(VLOOKUP(E60,Categories!A:B,2,FALSE),"Other")</f>
        <v/>
      </c>
    </row>
    <row r="61">
      <c r="A61" s="2" t="n">
        <v>45716</v>
      </c>
      <c r="B61" t="inlineStr">
        <is>
          <t>T2025-02-287893</t>
        </is>
      </c>
      <c r="C61" t="inlineStr">
        <is>
          <t>V:WaterWorks B:11827364</t>
        </is>
      </c>
      <c r="D61" t="n">
        <v>1841.11</v>
      </c>
      <c r="E61">
        <f>TRIM(IFERROR(LEFT(C61,FIND(" ",C61)),C61))</f>
        <v/>
      </c>
      <c r="F61">
        <f>IFERROR(VLOOKUP(E61,Categories!A:B,2,FALSE),"Other")</f>
        <v/>
      </c>
    </row>
    <row r="62">
      <c r="A62" s="2" t="n">
        <v>45699</v>
      </c>
      <c r="B62" t="inlineStr">
        <is>
          <t>T2025-02-118357</t>
        </is>
      </c>
      <c r="C62" t="inlineStr">
        <is>
          <t>V:InsureCo B:99281734</t>
        </is>
      </c>
      <c r="D62" t="n">
        <v>1122.14</v>
      </c>
      <c r="E62">
        <f>TRIM(IFERROR(LEFT(C62,FIND(" ",C62)),C62))</f>
        <v/>
      </c>
      <c r="F62">
        <f>IFERROR(VLOOKUP(E62,Categories!A:B,2,FALSE),"Other")</f>
        <v/>
      </c>
    </row>
    <row r="63">
      <c r="A63" s="2" t="n">
        <v>45699</v>
      </c>
      <c r="B63" t="inlineStr">
        <is>
          <t>T2025-02-113960</t>
        </is>
      </c>
      <c r="C63" t="inlineStr">
        <is>
          <t>Pay date 2/15</t>
        </is>
      </c>
      <c r="D63" t="n">
        <v>13743.35</v>
      </c>
      <c r="E63">
        <f>TRIM(IFERROR(LEFT(C63,FIND(" ",C63)),C63))</f>
        <v/>
      </c>
      <c r="F63">
        <f>IFERROR(VLOOKUP(E63,Categories!A:B,2,FALSE),"Other")</f>
        <v/>
      </c>
    </row>
    <row r="64">
      <c r="A64" s="2" t="n">
        <v>45701</v>
      </c>
      <c r="B64" t="inlineStr">
        <is>
          <t>T2025-02-139199</t>
        </is>
      </c>
      <c r="C64" t="inlineStr">
        <is>
          <t>Pay date 2/15</t>
        </is>
      </c>
      <c r="D64" t="n">
        <v>10903.09</v>
      </c>
      <c r="E64">
        <f>TRIM(IFERROR(LEFT(C64,FIND(" ",C64)),C64))</f>
        <v/>
      </c>
      <c r="F64">
        <f>IFERROR(VLOOKUP(E64,Categories!A:B,2,FALSE),"Other")</f>
        <v/>
      </c>
    </row>
    <row r="65">
      <c r="A65" s="2" t="n">
        <v>45697</v>
      </c>
      <c r="B65" t="inlineStr">
        <is>
          <t>T2025-02-097167</t>
        </is>
      </c>
      <c r="C65" t="inlineStr">
        <is>
          <t>V:PepsiCo B:33910284</t>
        </is>
      </c>
      <c r="D65" t="n">
        <v>4288.84</v>
      </c>
      <c r="E65">
        <f>TRIM(IFERROR(LEFT(C65,FIND(" ",C65)),C65))</f>
        <v/>
      </c>
      <c r="F65">
        <f>IFERROR(VLOOKUP(E65,Categories!A:B,2,FALSE),"Other")</f>
        <v/>
      </c>
    </row>
    <row r="66">
      <c r="A66" s="2" t="n">
        <v>45700</v>
      </c>
      <c r="B66" t="inlineStr">
        <is>
          <t>T2025-02-123004</t>
        </is>
      </c>
      <c r="C66" t="inlineStr">
        <is>
          <t>V:USFoods B:77281934</t>
        </is>
      </c>
      <c r="D66" t="n">
        <v>4612.33</v>
      </c>
      <c r="E66">
        <f>TRIM(IFERROR(LEFT(C66,FIND(" ",C66)),C66))</f>
        <v/>
      </c>
      <c r="F66">
        <f>IFERROR(VLOOKUP(E66,Categories!A:B,2,FALSE),"Other")</f>
        <v/>
      </c>
    </row>
    <row r="67">
      <c r="A67" s="2" t="n">
        <v>45697</v>
      </c>
      <c r="B67" t="inlineStr">
        <is>
          <t>T2025-02-096279</t>
        </is>
      </c>
      <c r="C67" t="inlineStr">
        <is>
          <t>V:OfficeMax B:88372619</t>
        </is>
      </c>
      <c r="D67" t="n">
        <v>4108.02</v>
      </c>
      <c r="E67">
        <f>TRIM(IFERROR(LEFT(C67,FIND(" ",C67)),C67))</f>
        <v/>
      </c>
      <c r="F67">
        <f>IFERROR(VLOOKUP(E67,Categories!A:B,2,FALSE),"Other")</f>
        <v/>
      </c>
    </row>
    <row r="68">
      <c r="A68" s="2" t="n">
        <v>45690</v>
      </c>
      <c r="B68" t="inlineStr">
        <is>
          <t>T2025-02-027363</t>
        </is>
      </c>
      <c r="C68" t="inlineStr">
        <is>
          <t>V:PowerGrid B:22918374</t>
        </is>
      </c>
      <c r="D68" t="n">
        <v>305.44</v>
      </c>
      <c r="E68">
        <f>TRIM(IFERROR(LEFT(C68,FIND(" ",C68)),C68))</f>
        <v/>
      </c>
      <c r="F68">
        <f>IFERROR(VLOOKUP(E68,Categories!A:B,2,FALSE),"Other")</f>
        <v/>
      </c>
    </row>
    <row r="69">
      <c r="A69" s="2" t="n">
        <v>45698</v>
      </c>
      <c r="B69" t="inlineStr">
        <is>
          <t>T2025-02-106319</t>
        </is>
      </c>
      <c r="C69" t="inlineStr">
        <is>
          <t>V:USFoods B:77281934</t>
        </is>
      </c>
      <c r="D69" t="n">
        <v>2354.46</v>
      </c>
      <c r="E69">
        <f>TRIM(IFERROR(LEFT(C69,FIND(" ",C69)),C69))</f>
        <v/>
      </c>
      <c r="F69">
        <f>IFERROR(VLOOKUP(E69,Categories!A:B,2,FALSE),"Other")</f>
        <v/>
      </c>
    </row>
    <row r="70">
      <c r="A70" s="2" t="n">
        <v>45696</v>
      </c>
      <c r="B70" t="inlineStr">
        <is>
          <t>T2025-02-086636</t>
        </is>
      </c>
      <c r="C70" t="inlineStr">
        <is>
          <t>Pay date 1/15</t>
        </is>
      </c>
      <c r="D70" t="n">
        <v>13885.95</v>
      </c>
      <c r="E70">
        <f>TRIM(IFERROR(LEFT(C70,FIND(" ",C70)),C70))</f>
        <v/>
      </c>
      <c r="F70">
        <f>IFERROR(VLOOKUP(E70,Categories!A:B,2,FALSE),"Other")</f>
        <v/>
      </c>
    </row>
    <row r="71">
      <c r="A71" s="2" t="n">
        <v>45696</v>
      </c>
      <c r="B71" t="inlineStr">
        <is>
          <t>T2025-02-085505</t>
        </is>
      </c>
      <c r="C71" t="inlineStr">
        <is>
          <t>Pay date 2/1</t>
        </is>
      </c>
      <c r="D71" t="n">
        <v>12024.71</v>
      </c>
      <c r="E71">
        <f>TRIM(IFERROR(LEFT(C71,FIND(" ",C71)),C71))</f>
        <v/>
      </c>
      <c r="F71">
        <f>IFERROR(VLOOKUP(E71,Categories!A:B,2,FALSE),"Other")</f>
        <v/>
      </c>
    </row>
    <row r="72">
      <c r="A72" s="2" t="n">
        <v>45699</v>
      </c>
      <c r="B72" t="inlineStr">
        <is>
          <t>T2025-02-111326</t>
        </is>
      </c>
      <c r="C72" t="inlineStr">
        <is>
          <t>V:Sysco B:44829103</t>
        </is>
      </c>
      <c r="D72" t="n">
        <v>951.92</v>
      </c>
      <c r="E72">
        <f>TRIM(IFERROR(LEFT(C72,FIND(" ",C72)),C72))</f>
        <v/>
      </c>
      <c r="F72">
        <f>IFERROR(VLOOKUP(E72,Categories!A:B,2,FALSE),"Other")</f>
        <v/>
      </c>
    </row>
    <row r="73">
      <c r="A73" s="2" t="n">
        <v>45702</v>
      </c>
      <c r="B73" t="inlineStr">
        <is>
          <t>T2025-02-149767</t>
        </is>
      </c>
      <c r="C73" t="inlineStr">
        <is>
          <t>Pay date 1/15</t>
        </is>
      </c>
      <c r="D73" t="n">
        <v>8923.23</v>
      </c>
      <c r="E73">
        <f>TRIM(IFERROR(LEFT(C73,FIND(" ",C73)),C73))</f>
        <v/>
      </c>
      <c r="F73">
        <f>IFERROR(VLOOKUP(E73,Categories!A:B,2,FALSE),"Other")</f>
        <v/>
      </c>
    </row>
    <row r="74">
      <c r="A74" s="2" t="n">
        <v>45690</v>
      </c>
      <c r="B74" t="inlineStr">
        <is>
          <t>T2025-02-023319</t>
        </is>
      </c>
      <c r="C74" t="inlineStr">
        <is>
          <t>V:WaterWorks B:11827364</t>
        </is>
      </c>
      <c r="D74" t="n">
        <v>4990.76</v>
      </c>
      <c r="E74">
        <f>TRIM(IFERROR(LEFT(C74,FIND(" ",C74)),C74))</f>
        <v/>
      </c>
      <c r="F74">
        <f>IFERROR(VLOOKUP(E74,Categories!A:B,2,FALSE),"Other")</f>
        <v/>
      </c>
    </row>
    <row r="75">
      <c r="A75" s="2" t="n">
        <v>45699</v>
      </c>
      <c r="B75" t="inlineStr">
        <is>
          <t>T2025-02-114618</t>
        </is>
      </c>
      <c r="C75" t="inlineStr">
        <is>
          <t>V:InsureCo B:99281734</t>
        </is>
      </c>
      <c r="D75" t="n">
        <v>4463.09</v>
      </c>
      <c r="E75">
        <f>TRIM(IFERROR(LEFT(C75,FIND(" ",C75)),C75))</f>
        <v/>
      </c>
      <c r="F75">
        <f>IFERROR(VLOOKUP(E75,Categories!A:B,2,FALSE),"Other")</f>
        <v/>
      </c>
    </row>
    <row r="76">
      <c r="A76" s="2" t="n">
        <v>45708</v>
      </c>
      <c r="B76" t="inlineStr">
        <is>
          <t>T2025-02-205730</t>
        </is>
      </c>
      <c r="C76" t="inlineStr">
        <is>
          <t>V:Sysco B:44829103</t>
        </is>
      </c>
      <c r="D76" t="n">
        <v>2343.86</v>
      </c>
      <c r="E76">
        <f>TRIM(IFERROR(LEFT(C76,FIND(" ",C76)),C76))</f>
        <v/>
      </c>
      <c r="F76">
        <f>IFERROR(VLOOKUP(E76,Categories!A:B,2,FALSE),"Other")</f>
        <v/>
      </c>
    </row>
    <row r="77">
      <c r="A77" s="2" t="n">
        <v>45711</v>
      </c>
      <c r="B77" t="inlineStr">
        <is>
          <t>T2025-02-231228</t>
        </is>
      </c>
      <c r="C77" t="inlineStr">
        <is>
          <t>V:MarketingCo B:44738291</t>
        </is>
      </c>
      <c r="D77" t="n">
        <v>4509.53</v>
      </c>
      <c r="E77">
        <f>TRIM(IFERROR(LEFT(C77,FIND(" ",C77)),C77))</f>
        <v/>
      </c>
      <c r="F77">
        <f>IFERROR(VLOOKUP(E77,Categories!A:B,2,FALSE),"Other")</f>
        <v/>
      </c>
    </row>
    <row r="78">
      <c r="A78" s="2" t="n">
        <v>45699</v>
      </c>
      <c r="B78" t="inlineStr">
        <is>
          <t>T2025-02-112026</t>
        </is>
      </c>
      <c r="C78" t="inlineStr">
        <is>
          <t>Pay date 2/1</t>
        </is>
      </c>
      <c r="D78" t="n">
        <v>12815.93</v>
      </c>
      <c r="E78">
        <f>TRIM(IFERROR(LEFT(C78,FIND(" ",C78)),C78))</f>
        <v/>
      </c>
      <c r="F78">
        <f>IFERROR(VLOOKUP(E78,Categories!A:B,2,FALSE),"Other")</f>
        <v/>
      </c>
    </row>
    <row r="79">
      <c r="A79" s="2" t="n">
        <v>45716</v>
      </c>
      <c r="B79" t="inlineStr">
        <is>
          <t>T2025-02-287816</t>
        </is>
      </c>
      <c r="C79" t="inlineStr">
        <is>
          <t>V:RepairPro B:66738291</t>
        </is>
      </c>
      <c r="D79" t="n">
        <v>1461.21</v>
      </c>
      <c r="E79">
        <f>TRIM(IFERROR(LEFT(C79,FIND(" ",C79)),C79))</f>
        <v/>
      </c>
      <c r="F79">
        <f>IFERROR(VLOOKUP(E79,Categories!A:B,2,FALSE),"Other")</f>
        <v/>
      </c>
    </row>
    <row r="80">
      <c r="A80" s="2" t="n">
        <v>45700</v>
      </c>
      <c r="B80" t="inlineStr">
        <is>
          <t>T2025-02-121212</t>
        </is>
      </c>
      <c r="C80" t="inlineStr">
        <is>
          <t>V:PowerGrid B:22918374</t>
        </is>
      </c>
      <c r="D80" t="n">
        <v>264.86</v>
      </c>
      <c r="E80">
        <f>TRIM(IFERROR(LEFT(C80,FIND(" ",C80)),C80))</f>
        <v/>
      </c>
      <c r="F80">
        <f>IFERROR(VLOOKUP(E80,Categories!A:B,2,FALSE),"Other")</f>
        <v/>
      </c>
    </row>
    <row r="81">
      <c r="A81" s="2" t="n">
        <v>45704</v>
      </c>
      <c r="B81" t="inlineStr">
        <is>
          <t>T2025-02-169597</t>
        </is>
      </c>
      <c r="C81" t="inlineStr">
        <is>
          <t>Pay date 1/15</t>
        </is>
      </c>
      <c r="D81" t="n">
        <v>8326.35</v>
      </c>
      <c r="E81">
        <f>TRIM(IFERROR(LEFT(C81,FIND(" ",C81)),C81))</f>
        <v/>
      </c>
      <c r="F81">
        <f>IFERROR(VLOOKUP(E81,Categories!A:B,2,FALSE),"Other")</f>
        <v/>
      </c>
    </row>
    <row r="82">
      <c r="A82" s="2" t="n">
        <v>45694</v>
      </c>
      <c r="B82" t="inlineStr">
        <is>
          <t>T2025-02-064179</t>
        </is>
      </c>
      <c r="C82" t="inlineStr">
        <is>
          <t>Pay date 2/15</t>
        </is>
      </c>
      <c r="D82" t="n">
        <v>11718.62</v>
      </c>
      <c r="E82">
        <f>TRIM(IFERROR(LEFT(C82,FIND(" ",C82)),C82))</f>
        <v/>
      </c>
      <c r="F82">
        <f>IFERROR(VLOOKUP(E82,Categories!A:B,2,FALSE),"Other")</f>
        <v/>
      </c>
    </row>
    <row r="83">
      <c r="A83" s="2" t="n">
        <v>45698</v>
      </c>
      <c r="B83" t="inlineStr">
        <is>
          <t>T2025-02-108657</t>
        </is>
      </c>
      <c r="C83" t="inlineStr">
        <is>
          <t>V:WaterWorks B:11827364</t>
        </is>
      </c>
      <c r="D83" t="n">
        <v>4335.08</v>
      </c>
      <c r="E83">
        <f>TRIM(IFERROR(LEFT(C83,FIND(" ",C83)),C83))</f>
        <v/>
      </c>
      <c r="F83">
        <f>IFERROR(VLOOKUP(E83,Categories!A:B,2,FALSE),"Other")</f>
        <v/>
      </c>
    </row>
    <row r="84">
      <c r="A84" s="2" t="n">
        <v>45696</v>
      </c>
      <c r="B84" t="inlineStr">
        <is>
          <t>T2025-02-082691</t>
        </is>
      </c>
      <c r="C84" t="inlineStr">
        <is>
          <t>V:RepairPro B:66738291</t>
        </is>
      </c>
      <c r="D84" t="n">
        <v>2662.66</v>
      </c>
      <c r="E84">
        <f>TRIM(IFERROR(LEFT(C84,FIND(" ",C84)),C84))</f>
        <v/>
      </c>
      <c r="F84">
        <f>IFERROR(VLOOKUP(E84,Categories!A:B,2,FALSE),"Other")</f>
        <v/>
      </c>
    </row>
    <row r="85">
      <c r="A85" s="2" t="n">
        <v>45703</v>
      </c>
      <c r="B85" t="inlineStr">
        <is>
          <t>T2025-02-155576</t>
        </is>
      </c>
      <c r="C85" t="inlineStr">
        <is>
          <t>V:MarketingCo B:44738291</t>
        </is>
      </c>
      <c r="D85" t="n">
        <v>2747.56</v>
      </c>
      <c r="E85">
        <f>TRIM(IFERROR(LEFT(C85,FIND(" ",C85)),C85))</f>
        <v/>
      </c>
      <c r="F85">
        <f>IFERROR(VLOOKUP(E85,Categories!A:B,2,FALSE),"Other")</f>
        <v/>
      </c>
    </row>
    <row r="86">
      <c r="A86" s="2" t="n">
        <v>45714</v>
      </c>
      <c r="B86" t="inlineStr">
        <is>
          <t>T2025-02-262110</t>
        </is>
      </c>
      <c r="C86" t="inlineStr">
        <is>
          <t>V:CleanCorp B:55192837</t>
        </is>
      </c>
      <c r="D86" t="n">
        <v>2627.5</v>
      </c>
      <c r="E86">
        <f>TRIM(IFERROR(LEFT(C86,FIND(" ",C86)),C86))</f>
        <v/>
      </c>
      <c r="F86">
        <f>IFERROR(VLOOKUP(E86,Categories!A:B,2,FALSE),"Other")</f>
        <v/>
      </c>
    </row>
    <row r="87">
      <c r="A87" s="2" t="n">
        <v>45729</v>
      </c>
      <c r="B87" t="inlineStr">
        <is>
          <t>T2025-03-138349</t>
        </is>
      </c>
      <c r="C87" t="inlineStr">
        <is>
          <t>V:PowerGrid B:22918374</t>
        </is>
      </c>
      <c r="D87" t="n">
        <v>3998.95</v>
      </c>
      <c r="E87">
        <f>TRIM(IFERROR(LEFT(C87,FIND(" ",C87)),C87))</f>
        <v/>
      </c>
      <c r="F87">
        <f>IFERROR(VLOOKUP(E87,Categories!A:B,2,FALSE),"Other")</f>
        <v/>
      </c>
    </row>
    <row r="88">
      <c r="A88" s="2" t="n">
        <v>45720</v>
      </c>
      <c r="B88" t="inlineStr">
        <is>
          <t>T2025-03-048143</t>
        </is>
      </c>
      <c r="C88" t="inlineStr">
        <is>
          <t>V:Sysco B:44829103</t>
        </is>
      </c>
      <c r="D88" t="n">
        <v>2871.54</v>
      </c>
      <c r="E88">
        <f>TRIM(IFERROR(LEFT(C88,FIND(" ",C88)),C88))</f>
        <v/>
      </c>
      <c r="F88">
        <f>IFERROR(VLOOKUP(E88,Categories!A:B,2,FALSE),"Other")</f>
        <v/>
      </c>
    </row>
    <row r="89">
      <c r="A89" s="2" t="n">
        <v>45733</v>
      </c>
      <c r="B89" t="inlineStr">
        <is>
          <t>T2025-03-173204</t>
        </is>
      </c>
      <c r="C89" t="inlineStr">
        <is>
          <t>V:InsureCo B:99281734</t>
        </is>
      </c>
      <c r="D89" t="n">
        <v>811.55</v>
      </c>
      <c r="E89">
        <f>TRIM(IFERROR(LEFT(C89,FIND(" ",C89)),C89))</f>
        <v/>
      </c>
      <c r="F89">
        <f>IFERROR(VLOOKUP(E89,Categories!A:B,2,FALSE),"Other")</f>
        <v/>
      </c>
    </row>
    <row r="90">
      <c r="A90" s="2" t="n">
        <v>45723</v>
      </c>
      <c r="B90" t="inlineStr">
        <is>
          <t>T2025-03-071615</t>
        </is>
      </c>
      <c r="C90" t="inlineStr">
        <is>
          <t>V:CleanCorp B:55192837</t>
        </is>
      </c>
      <c r="D90" t="n">
        <v>4885.87</v>
      </c>
      <c r="E90">
        <f>TRIM(IFERROR(LEFT(C90,FIND(" ",C90)),C90))</f>
        <v/>
      </c>
      <c r="F90">
        <f>IFERROR(VLOOKUP(E90,Categories!A:B,2,FALSE),"Other")</f>
        <v/>
      </c>
    </row>
    <row r="91">
      <c r="A91" s="2" t="n">
        <v>45724</v>
      </c>
      <c r="B91" t="inlineStr">
        <is>
          <t>T2025-03-081423</t>
        </is>
      </c>
      <c r="C91" t="inlineStr">
        <is>
          <t>V:CleanCorp B:55192837</t>
        </is>
      </c>
      <c r="D91" t="n">
        <v>413.53</v>
      </c>
      <c r="E91">
        <f>TRIM(IFERROR(LEFT(C91,FIND(" ",C91)),C91))</f>
        <v/>
      </c>
      <c r="F91">
        <f>IFERROR(VLOOKUP(E91,Categories!A:B,2,FALSE),"Other")</f>
        <v/>
      </c>
    </row>
    <row r="92">
      <c r="A92" s="2" t="n">
        <v>45717</v>
      </c>
      <c r="B92" t="inlineStr">
        <is>
          <t>T2025-03-019960</t>
        </is>
      </c>
      <c r="C92" t="inlineStr">
        <is>
          <t>V:PowerGrid B:22918374</t>
        </is>
      </c>
      <c r="D92" t="n">
        <v>3298.26</v>
      </c>
      <c r="E92">
        <f>TRIM(IFERROR(LEFT(C92,FIND(" ",C92)),C92))</f>
        <v/>
      </c>
      <c r="F92">
        <f>IFERROR(VLOOKUP(E92,Categories!A:B,2,FALSE),"Other")</f>
        <v/>
      </c>
    </row>
    <row r="93">
      <c r="A93" s="2" t="n">
        <v>45717</v>
      </c>
      <c r="B93" t="inlineStr">
        <is>
          <t>T2025-03-015039</t>
        </is>
      </c>
      <c r="C93" t="inlineStr">
        <is>
          <t>V:Sysco B:44829103</t>
        </is>
      </c>
      <c r="D93" t="n">
        <v>4627.13</v>
      </c>
      <c r="E93">
        <f>TRIM(IFERROR(LEFT(C93,FIND(" ",C93)),C93))</f>
        <v/>
      </c>
      <c r="F93">
        <f>IFERROR(VLOOKUP(E93,Categories!A:B,2,FALSE),"Other")</f>
        <v/>
      </c>
    </row>
    <row r="94">
      <c r="A94" s="2" t="n">
        <v>45740</v>
      </c>
      <c r="B94" t="inlineStr">
        <is>
          <t>T2025-03-244046</t>
        </is>
      </c>
      <c r="C94" t="inlineStr">
        <is>
          <t>V:PowerGrid B:22918374</t>
        </is>
      </c>
      <c r="D94" t="n">
        <v>3509.19</v>
      </c>
      <c r="E94">
        <f>TRIM(IFERROR(LEFT(C94,FIND(" ",C94)),C94))</f>
        <v/>
      </c>
      <c r="F94">
        <f>IFERROR(VLOOKUP(E94,Categories!A:B,2,FALSE),"Other")</f>
        <v/>
      </c>
    </row>
    <row r="95">
      <c r="A95" s="2" t="n">
        <v>45726</v>
      </c>
      <c r="B95" t="inlineStr">
        <is>
          <t>T2025-03-106321</t>
        </is>
      </c>
      <c r="C95" t="inlineStr">
        <is>
          <t>V:USFoods B:77281934</t>
        </is>
      </c>
      <c r="D95" t="n">
        <v>1448.61</v>
      </c>
      <c r="E95">
        <f>TRIM(IFERROR(LEFT(C95,FIND(" ",C95)),C95))</f>
        <v/>
      </c>
      <c r="F95">
        <f>IFERROR(VLOOKUP(E95,Categories!A:B,2,FALSE),"Other")</f>
        <v/>
      </c>
    </row>
    <row r="96">
      <c r="A96" s="2" t="n">
        <v>45723</v>
      </c>
      <c r="B96" t="inlineStr">
        <is>
          <t>T2025-03-076923</t>
        </is>
      </c>
      <c r="C96" t="inlineStr">
        <is>
          <t>V:OfficeMax B:88372619</t>
        </is>
      </c>
      <c r="D96" t="n">
        <v>178.53</v>
      </c>
      <c r="E96">
        <f>TRIM(IFERROR(LEFT(C96,FIND(" ",C96)),C96))</f>
        <v/>
      </c>
      <c r="F96">
        <f>IFERROR(VLOOKUP(E96,Categories!A:B,2,FALSE),"Other")</f>
        <v/>
      </c>
    </row>
    <row r="97">
      <c r="A97" s="2" t="n">
        <v>45742</v>
      </c>
      <c r="B97" t="inlineStr">
        <is>
          <t>T2025-03-267787</t>
        </is>
      </c>
      <c r="C97" t="inlineStr">
        <is>
          <t>V:PepsiCo B:33910284</t>
        </is>
      </c>
      <c r="D97" t="n">
        <v>2356.18</v>
      </c>
      <c r="E97">
        <f>TRIM(IFERROR(LEFT(C97,FIND(" ",C97)),C97))</f>
        <v/>
      </c>
      <c r="F97">
        <f>IFERROR(VLOOKUP(E97,Categories!A:B,2,FALSE),"Other")</f>
        <v/>
      </c>
    </row>
    <row r="98">
      <c r="A98" s="2" t="n">
        <v>45724</v>
      </c>
      <c r="B98" t="inlineStr">
        <is>
          <t>T2025-03-088120</t>
        </is>
      </c>
      <c r="C98" t="inlineStr">
        <is>
          <t>V:OfficeMax B:88372619</t>
        </is>
      </c>
      <c r="D98" t="n">
        <v>3328.99</v>
      </c>
      <c r="E98">
        <f>TRIM(IFERROR(LEFT(C98,FIND(" ",C98)),C98))</f>
        <v/>
      </c>
      <c r="F98">
        <f>IFERROR(VLOOKUP(E98,Categories!A:B,2,FALSE),"Other")</f>
        <v/>
      </c>
    </row>
    <row r="99">
      <c r="A99" s="2" t="n">
        <v>45729</v>
      </c>
      <c r="B99" t="inlineStr">
        <is>
          <t>T2025-03-132262</t>
        </is>
      </c>
      <c r="C99" t="inlineStr">
        <is>
          <t>V:OfficeMax B:88372619</t>
        </is>
      </c>
      <c r="D99" t="n">
        <v>985.34</v>
      </c>
      <c r="E99">
        <f>TRIM(IFERROR(LEFT(C99,FIND(" ",C99)),C99))</f>
        <v/>
      </c>
      <c r="F99">
        <f>IFERROR(VLOOKUP(E99,Categories!A:B,2,FALSE),"Other")</f>
        <v/>
      </c>
    </row>
    <row r="100">
      <c r="A100" s="2" t="n">
        <v>45732</v>
      </c>
      <c r="B100" t="inlineStr">
        <is>
          <t>T2025-03-168792</t>
        </is>
      </c>
      <c r="C100" t="inlineStr">
        <is>
          <t>V:Sysco B:44829103</t>
        </is>
      </c>
      <c r="D100" t="n">
        <v>1469.59</v>
      </c>
      <c r="E100">
        <f>TRIM(IFERROR(LEFT(C100,FIND(" ",C100)),C100))</f>
        <v/>
      </c>
      <c r="F100">
        <f>IFERROR(VLOOKUP(E100,Categories!A:B,2,FALSE),"Other")</f>
        <v/>
      </c>
    </row>
    <row r="101">
      <c r="A101" s="2" t="n">
        <v>45740</v>
      </c>
      <c r="B101" t="inlineStr">
        <is>
          <t>T2025-03-248538</t>
        </is>
      </c>
      <c r="C101" t="inlineStr">
        <is>
          <t>Pay date 2/1</t>
        </is>
      </c>
      <c r="D101" t="n">
        <v>8881.85</v>
      </c>
      <c r="E101">
        <f>TRIM(IFERROR(LEFT(C101,FIND(" ",C101)),C101))</f>
        <v/>
      </c>
      <c r="F101">
        <f>IFERROR(VLOOKUP(E101,Categories!A:B,2,FALSE),"Other")</f>
        <v/>
      </c>
    </row>
    <row r="102">
      <c r="A102" s="2" t="n">
        <v>45744</v>
      </c>
      <c r="B102" t="inlineStr">
        <is>
          <t>T2025-03-281285</t>
        </is>
      </c>
      <c r="C102" t="inlineStr">
        <is>
          <t>V:InsureCo B:99281734</t>
        </is>
      </c>
      <c r="D102" t="n">
        <v>2781.41</v>
      </c>
      <c r="E102">
        <f>TRIM(IFERROR(LEFT(C102,FIND(" ",C102)),C102))</f>
        <v/>
      </c>
      <c r="F102">
        <f>IFERROR(VLOOKUP(E102,Categories!A:B,2,FALSE),"Other")</f>
        <v/>
      </c>
    </row>
    <row r="103">
      <c r="A103" s="2" t="n">
        <v>45731</v>
      </c>
      <c r="B103" t="inlineStr">
        <is>
          <t>T2025-03-156943</t>
        </is>
      </c>
      <c r="C103" t="inlineStr">
        <is>
          <t>V:OfficeMax B:88372619</t>
        </is>
      </c>
      <c r="D103" t="n">
        <v>1797.38</v>
      </c>
      <c r="E103">
        <f>TRIM(IFERROR(LEFT(C103,FIND(" ",C103)),C103))</f>
        <v/>
      </c>
      <c r="F103">
        <f>IFERROR(VLOOKUP(E103,Categories!A:B,2,FALSE),"Other")</f>
        <v/>
      </c>
    </row>
    <row r="104">
      <c r="A104" s="2" t="n">
        <v>45723</v>
      </c>
      <c r="B104" t="inlineStr">
        <is>
          <t>T2025-03-072732</t>
        </is>
      </c>
      <c r="C104" t="inlineStr">
        <is>
          <t>V:PowerGrid B:22918374</t>
        </is>
      </c>
      <c r="D104" t="n">
        <v>4686.26</v>
      </c>
      <c r="E104">
        <f>TRIM(IFERROR(LEFT(C104,FIND(" ",C104)),C104))</f>
        <v/>
      </c>
      <c r="F104">
        <f>IFERROR(VLOOKUP(E104,Categories!A:B,2,FALSE),"Other")</f>
        <v/>
      </c>
    </row>
    <row r="105">
      <c r="A105" s="2" t="n">
        <v>45733</v>
      </c>
      <c r="B105" t="inlineStr">
        <is>
          <t>T2025-03-172356</t>
        </is>
      </c>
      <c r="C105" t="inlineStr">
        <is>
          <t>Pay date 2/15</t>
        </is>
      </c>
      <c r="D105" t="n">
        <v>12651.05</v>
      </c>
      <c r="E105">
        <f>TRIM(IFERROR(LEFT(C105,FIND(" ",C105)),C105))</f>
        <v/>
      </c>
      <c r="F105">
        <f>IFERROR(VLOOKUP(E105,Categories!A:B,2,FALSE),"Other")</f>
        <v/>
      </c>
    </row>
    <row r="106">
      <c r="A106" s="2" t="n">
        <v>45741</v>
      </c>
      <c r="B106" t="inlineStr">
        <is>
          <t>T2025-03-257861</t>
        </is>
      </c>
      <c r="C106" t="inlineStr">
        <is>
          <t>Pay date 1/15</t>
        </is>
      </c>
      <c r="D106" t="n">
        <v>10689.98</v>
      </c>
      <c r="E106">
        <f>TRIM(IFERROR(LEFT(C106,FIND(" ",C106)),C106))</f>
        <v/>
      </c>
      <c r="F106">
        <f>IFERROR(VLOOKUP(E106,Categories!A:B,2,FALSE),"Other")</f>
        <v/>
      </c>
    </row>
    <row r="107">
      <c r="A107" s="2" t="n">
        <v>45721</v>
      </c>
      <c r="B107" t="inlineStr">
        <is>
          <t>T2025-03-051087</t>
        </is>
      </c>
      <c r="C107" t="inlineStr">
        <is>
          <t>V:WaterWorks B:11827364</t>
        </is>
      </c>
      <c r="D107" t="n">
        <v>745.83</v>
      </c>
      <c r="E107">
        <f>TRIM(IFERROR(LEFT(C107,FIND(" ",C107)),C107))</f>
        <v/>
      </c>
      <c r="F107">
        <f>IFERROR(VLOOKUP(E107,Categories!A:B,2,FALSE),"Other")</f>
        <v/>
      </c>
    </row>
    <row r="108">
      <c r="A108" s="2" t="n">
        <v>45722</v>
      </c>
      <c r="B108" t="inlineStr">
        <is>
          <t>T2025-03-062609</t>
        </is>
      </c>
      <c r="C108" t="inlineStr">
        <is>
          <t>Pay date 2/15</t>
        </is>
      </c>
      <c r="D108" t="n">
        <v>10317.18</v>
      </c>
      <c r="E108">
        <f>TRIM(IFERROR(LEFT(C108,FIND(" ",C108)),C108))</f>
        <v/>
      </c>
      <c r="F108">
        <f>IFERROR(VLOOKUP(E108,Categories!A:B,2,FALSE),"Other")</f>
        <v/>
      </c>
    </row>
    <row r="109">
      <c r="A109" s="2" t="n">
        <v>45721</v>
      </c>
      <c r="B109" t="inlineStr">
        <is>
          <t>T2025-03-054290</t>
        </is>
      </c>
      <c r="C109" t="inlineStr">
        <is>
          <t>V:CleanCorp B:55192837</t>
        </is>
      </c>
      <c r="D109" t="n">
        <v>2315.15</v>
      </c>
      <c r="E109">
        <f>TRIM(IFERROR(LEFT(C109,FIND(" ",C109)),C109))</f>
        <v/>
      </c>
      <c r="F109">
        <f>IFERROR(VLOOKUP(E109,Categories!A:B,2,FALSE),"Other")</f>
        <v/>
      </c>
    </row>
    <row r="110">
      <c r="A110" s="2" t="n">
        <v>45738</v>
      </c>
      <c r="B110" t="inlineStr">
        <is>
          <t>T2025-03-223485</t>
        </is>
      </c>
      <c r="C110" t="inlineStr">
        <is>
          <t>V:PowerGrid B:22918374</t>
        </is>
      </c>
      <c r="D110" t="n">
        <v>345.15</v>
      </c>
      <c r="E110">
        <f>TRIM(IFERROR(LEFT(C110,FIND(" ",C110)),C110))</f>
        <v/>
      </c>
      <c r="F110">
        <f>IFERROR(VLOOKUP(E110,Categories!A:B,2,FALSE),"Other")</f>
        <v/>
      </c>
    </row>
    <row r="111">
      <c r="A111" s="2" t="n">
        <v>45720</v>
      </c>
      <c r="B111" t="inlineStr">
        <is>
          <t>T2025-03-043200</t>
        </is>
      </c>
      <c r="C111" t="inlineStr">
        <is>
          <t>V:WaterWorks B:11827364</t>
        </is>
      </c>
      <c r="D111" t="n">
        <v>3493.7</v>
      </c>
      <c r="E111">
        <f>TRIM(IFERROR(LEFT(C111,FIND(" ",C111)),C111))</f>
        <v/>
      </c>
      <c r="F111">
        <f>IFERROR(VLOOKUP(E111,Categories!A:B,2,FALSE),"Other")</f>
        <v/>
      </c>
    </row>
    <row r="112">
      <c r="A112" s="2" t="n">
        <v>45738</v>
      </c>
      <c r="B112" t="inlineStr">
        <is>
          <t>T2025-03-224380</t>
        </is>
      </c>
      <c r="C112" t="inlineStr">
        <is>
          <t>V:Sysco B:44829103</t>
        </is>
      </c>
      <c r="D112" t="n">
        <v>1826.72</v>
      </c>
      <c r="E112">
        <f>TRIM(IFERROR(LEFT(C112,FIND(" ",C112)),C112))</f>
        <v/>
      </c>
      <c r="F112">
        <f>IFERROR(VLOOKUP(E112,Categories!A:B,2,FALSE),"Other")</f>
        <v/>
      </c>
    </row>
    <row r="113">
      <c r="A113" s="2" t="n">
        <v>45743</v>
      </c>
      <c r="B113" t="inlineStr">
        <is>
          <t>T2025-03-278066</t>
        </is>
      </c>
      <c r="C113" t="inlineStr">
        <is>
          <t>V:CleanCorp B:55192837</t>
        </is>
      </c>
      <c r="D113" t="n">
        <v>1213.91</v>
      </c>
      <c r="E113">
        <f>TRIM(IFERROR(LEFT(C113,FIND(" ",C113)),C113))</f>
        <v/>
      </c>
      <c r="F113">
        <f>IFERROR(VLOOKUP(E113,Categories!A:B,2,FALSE),"Other")</f>
        <v/>
      </c>
    </row>
    <row r="114">
      <c r="A114" s="2" t="n">
        <v>45727</v>
      </c>
      <c r="B114" t="inlineStr">
        <is>
          <t>T2025-03-115778</t>
        </is>
      </c>
      <c r="C114" t="inlineStr">
        <is>
          <t>Pay date 1/15</t>
        </is>
      </c>
      <c r="D114" t="n">
        <v>12726.94</v>
      </c>
      <c r="E114">
        <f>TRIM(IFERROR(LEFT(C114,FIND(" ",C114)),C114))</f>
        <v/>
      </c>
      <c r="F114">
        <f>IFERROR(VLOOKUP(E114,Categories!A:B,2,FALSE),"Other")</f>
        <v/>
      </c>
    </row>
    <row r="115">
      <c r="A115" s="2" t="n">
        <v>45727</v>
      </c>
      <c r="B115" t="inlineStr">
        <is>
          <t>T2025-03-111997</t>
        </is>
      </c>
      <c r="C115" t="inlineStr">
        <is>
          <t>Pay date 1/15</t>
        </is>
      </c>
      <c r="D115" t="n">
        <v>13508.25</v>
      </c>
      <c r="E115">
        <f>TRIM(IFERROR(LEFT(C115,FIND(" ",C115)),C115))</f>
        <v/>
      </c>
      <c r="F115">
        <f>IFERROR(VLOOKUP(E115,Categories!A:B,2,FALSE),"Other")</f>
        <v/>
      </c>
    </row>
    <row r="116">
      <c r="A116" s="2" t="n">
        <v>45718</v>
      </c>
      <c r="B116" t="inlineStr">
        <is>
          <t>T2025-03-025090</t>
        </is>
      </c>
      <c r="C116" t="inlineStr">
        <is>
          <t>V:OfficeMax B:88372619</t>
        </is>
      </c>
      <c r="D116" t="n">
        <v>369.78</v>
      </c>
      <c r="E116">
        <f>TRIM(IFERROR(LEFT(C116,FIND(" ",C116)),C116))</f>
        <v/>
      </c>
      <c r="F116">
        <f>IFERROR(VLOOKUP(E116,Categories!A:B,2,FALSE),"Other")</f>
        <v/>
      </c>
    </row>
    <row r="117">
      <c r="A117" s="2" t="n">
        <v>45726</v>
      </c>
      <c r="B117" t="inlineStr">
        <is>
          <t>T2025-03-101013</t>
        </is>
      </c>
      <c r="C117" t="inlineStr">
        <is>
          <t>V:CleanCorp B:55192837</t>
        </is>
      </c>
      <c r="D117" t="n">
        <v>669.3200000000001</v>
      </c>
      <c r="E117">
        <f>TRIM(IFERROR(LEFT(C117,FIND(" ",C117)),C117))</f>
        <v/>
      </c>
      <c r="F117">
        <f>IFERROR(VLOOKUP(E117,Categories!A:B,2,FALSE),"Other")</f>
        <v/>
      </c>
    </row>
    <row r="118">
      <c r="A118" s="2" t="n">
        <v>45742</v>
      </c>
      <c r="B118" t="inlineStr">
        <is>
          <t>T2025-03-269898</t>
        </is>
      </c>
      <c r="C118" t="inlineStr">
        <is>
          <t>V:MarketingCo B:44738291</t>
        </is>
      </c>
      <c r="D118" t="n">
        <v>4478.57</v>
      </c>
      <c r="E118">
        <f>TRIM(IFERROR(LEFT(C118,FIND(" ",C118)),C118))</f>
        <v/>
      </c>
      <c r="F118">
        <f>IFERROR(VLOOKUP(E118,Categories!A:B,2,FALSE),"Other")</f>
        <v/>
      </c>
    </row>
    <row r="119">
      <c r="A119" s="2" t="n">
        <v>45725</v>
      </c>
      <c r="B119" t="inlineStr">
        <is>
          <t>T2025-03-097025</t>
        </is>
      </c>
      <c r="C119" t="inlineStr">
        <is>
          <t>V:PowerGrid B:22918374</t>
        </is>
      </c>
      <c r="D119" t="n">
        <v>4883.72</v>
      </c>
      <c r="E119">
        <f>TRIM(IFERROR(LEFT(C119,FIND(" ",C119)),C119))</f>
        <v/>
      </c>
      <c r="F119">
        <f>IFERROR(VLOOKUP(E119,Categories!A:B,2,FALSE),"Other")</f>
        <v/>
      </c>
    </row>
    <row r="120">
      <c r="A120" s="2" t="n">
        <v>45728</v>
      </c>
      <c r="B120" t="inlineStr">
        <is>
          <t>T2025-03-121544</t>
        </is>
      </c>
      <c r="C120" t="inlineStr">
        <is>
          <t>Pay date 1/15</t>
        </is>
      </c>
      <c r="D120" t="n">
        <v>10918.06</v>
      </c>
      <c r="E120">
        <f>TRIM(IFERROR(LEFT(C120,FIND(" ",C120)),C120))</f>
        <v/>
      </c>
      <c r="F120">
        <f>IFERROR(VLOOKUP(E120,Categories!A:B,2,FALSE),"Other")</f>
        <v/>
      </c>
    </row>
    <row r="121">
      <c r="A121" s="2" t="n">
        <v>45736</v>
      </c>
      <c r="B121" t="inlineStr">
        <is>
          <t>T2025-03-201053</t>
        </is>
      </c>
      <c r="C121" t="inlineStr">
        <is>
          <t>V:RepairPro B:66738291</t>
        </is>
      </c>
      <c r="D121" t="n">
        <v>1781.78</v>
      </c>
      <c r="E121">
        <f>TRIM(IFERROR(LEFT(C121,FIND(" ",C121)),C121))</f>
        <v/>
      </c>
      <c r="F121">
        <f>IFERROR(VLOOKUP(E121,Categories!A:B,2,FALSE),"Other")</f>
        <v/>
      </c>
    </row>
    <row r="122">
      <c r="A122" s="2" t="n">
        <v>45742</v>
      </c>
      <c r="B122" t="inlineStr">
        <is>
          <t>T2025-03-261047</t>
        </is>
      </c>
      <c r="C122" t="inlineStr">
        <is>
          <t>V:InsureCo B:99281734</t>
        </is>
      </c>
      <c r="D122" t="n">
        <v>2556.49</v>
      </c>
      <c r="E122">
        <f>TRIM(IFERROR(LEFT(C122,FIND(" ",C122)),C122))</f>
        <v/>
      </c>
      <c r="F122">
        <f>IFERROR(VLOOKUP(E122,Categories!A:B,2,FALSE),"Other")</f>
        <v/>
      </c>
    </row>
    <row r="123">
      <c r="A123" s="2" t="n">
        <v>45737</v>
      </c>
      <c r="B123" t="inlineStr">
        <is>
          <t>T2025-03-214009</t>
        </is>
      </c>
      <c r="C123" t="inlineStr">
        <is>
          <t>V:RepairPro B:66738291</t>
        </is>
      </c>
      <c r="D123" t="n">
        <v>445.43</v>
      </c>
      <c r="E123">
        <f>TRIM(IFERROR(LEFT(C123,FIND(" ",C123)),C123))</f>
        <v/>
      </c>
      <c r="F123">
        <f>IFERROR(VLOOKUP(E123,Categories!A:B,2,FALSE),"Other")</f>
        <v/>
      </c>
    </row>
    <row r="124">
      <c r="A124" s="2" t="n">
        <v>45736</v>
      </c>
      <c r="B124" t="inlineStr">
        <is>
          <t>T2025-03-202714</t>
        </is>
      </c>
      <c r="C124" t="inlineStr">
        <is>
          <t>V:InsureCo B:99281734</t>
        </is>
      </c>
      <c r="D124" t="n">
        <v>2251.36</v>
      </c>
      <c r="E124">
        <f>TRIM(IFERROR(LEFT(C124,FIND(" ",C124)),C124))</f>
        <v/>
      </c>
      <c r="F124">
        <f>IFERROR(VLOOKUP(E124,Categories!A:B,2,FALSE),"Other")</f>
        <v/>
      </c>
    </row>
    <row r="125">
      <c r="A125" s="2" t="n">
        <v>45740</v>
      </c>
      <c r="B125" t="inlineStr">
        <is>
          <t>T2025-03-249749</t>
        </is>
      </c>
      <c r="C125" t="inlineStr">
        <is>
          <t>V:MarketingCo B:44738291</t>
        </is>
      </c>
      <c r="D125" t="n">
        <v>4784.98</v>
      </c>
      <c r="E125">
        <f>TRIM(IFERROR(LEFT(C125,FIND(" ",C125)),C125))</f>
        <v/>
      </c>
      <c r="F125">
        <f>IFERROR(VLOOKUP(E125,Categories!A:B,2,FALSE),"Other")</f>
        <v/>
      </c>
    </row>
    <row r="126">
      <c r="A126" s="2" t="n">
        <v>45723</v>
      </c>
      <c r="B126" t="inlineStr">
        <is>
          <t>T2025-03-072156</t>
        </is>
      </c>
      <c r="C126" t="inlineStr">
        <is>
          <t>V:PowerGrid B:22918374</t>
        </is>
      </c>
      <c r="D126" t="n">
        <v>3192.78</v>
      </c>
      <c r="E126">
        <f>TRIM(IFERROR(LEFT(C126,FIND(" ",C126)),C126))</f>
        <v/>
      </c>
      <c r="F126">
        <f>IFERROR(VLOOKUP(E126,Categories!A:B,2,FALSE),"Other")</f>
        <v/>
      </c>
    </row>
    <row r="127">
      <c r="A127" s="2" t="n">
        <v>45723</v>
      </c>
      <c r="B127" t="inlineStr">
        <is>
          <t>T2025-03-078002</t>
        </is>
      </c>
      <c r="C127" t="inlineStr">
        <is>
          <t>V:CleanCorp B:55192837</t>
        </is>
      </c>
      <c r="D127" t="n">
        <v>3625.37</v>
      </c>
      <c r="E127">
        <f>TRIM(IFERROR(LEFT(C127,FIND(" ",C127)),C127))</f>
        <v/>
      </c>
      <c r="F127">
        <f>IFERROR(VLOOKUP(E127,Categories!A:B,2,FALSE),"Other")</f>
        <v/>
      </c>
    </row>
    <row r="128">
      <c r="A128" s="2" t="n">
        <v>45741</v>
      </c>
      <c r="B128" t="inlineStr">
        <is>
          <t>T2025-03-259923</t>
        </is>
      </c>
      <c r="C128" t="inlineStr">
        <is>
          <t>V:WaterWorks B:11827364</t>
        </is>
      </c>
      <c r="D128" t="n">
        <v>1452.33</v>
      </c>
      <c r="E128">
        <f>TRIM(IFERROR(LEFT(C128,FIND(" ",C128)),C128))</f>
        <v/>
      </c>
      <c r="F128">
        <f>IFERROR(VLOOKUP(E128,Categories!A:B,2,FALSE),"Other")</f>
        <v/>
      </c>
    </row>
    <row r="129">
      <c r="A129" s="2" t="n">
        <v>45722</v>
      </c>
      <c r="B129" t="inlineStr">
        <is>
          <t>T2025-03-061509</t>
        </is>
      </c>
      <c r="C129" t="inlineStr">
        <is>
          <t>V:PowerGrid B:22918374</t>
        </is>
      </c>
      <c r="D129" t="n">
        <v>182.24</v>
      </c>
      <c r="E129">
        <f>TRIM(IFERROR(LEFT(C129,FIND(" ",C129)),C129))</f>
        <v/>
      </c>
      <c r="F129">
        <f>IFERROR(VLOOKUP(E129,Categories!A:B,2,FALSE),"Other")</f>
        <v/>
      </c>
    </row>
    <row r="130">
      <c r="A130" s="2" t="n">
        <v>45741</v>
      </c>
      <c r="B130" t="inlineStr">
        <is>
          <t>T2025-03-256988</t>
        </is>
      </c>
      <c r="C130" t="inlineStr">
        <is>
          <t>Pay date 1/15</t>
        </is>
      </c>
      <c r="D130" t="n">
        <v>13460.7</v>
      </c>
      <c r="E130">
        <f>TRIM(IFERROR(LEFT(C130,FIND(" ",C130)),C130))</f>
        <v/>
      </c>
      <c r="F130">
        <f>IFERROR(VLOOKUP(E130,Categories!A:B,2,FALSE),"Other")</f>
        <v/>
      </c>
    </row>
    <row r="131">
      <c r="A131" s="2" t="n">
        <v>45722</v>
      </c>
      <c r="B131" t="inlineStr">
        <is>
          <t>T2025-03-062661</t>
        </is>
      </c>
      <c r="C131" t="inlineStr">
        <is>
          <t>V:USFoods B:77281934</t>
        </is>
      </c>
      <c r="D131" t="n">
        <v>725.09</v>
      </c>
      <c r="E131">
        <f>TRIM(IFERROR(LEFT(C131,FIND(" ",C131)),C131))</f>
        <v/>
      </c>
      <c r="F131">
        <f>IFERROR(VLOOKUP(E131,Categories!A:B,2,FALSE),"Other")</f>
        <v/>
      </c>
    </row>
    <row r="132">
      <c r="A132" s="2" t="n">
        <v>45725</v>
      </c>
      <c r="B132" t="inlineStr">
        <is>
          <t>T2025-03-092205</t>
        </is>
      </c>
      <c r="C132" t="inlineStr">
        <is>
          <t>V:USFoods B:77281934</t>
        </is>
      </c>
      <c r="D132" t="n">
        <v>4469.18</v>
      </c>
      <c r="E132">
        <f>TRIM(IFERROR(LEFT(C132,FIND(" ",C132)),C132))</f>
        <v/>
      </c>
      <c r="F132">
        <f>IFERROR(VLOOKUP(E132,Categories!A:B,2,FALSE),"Other")</f>
        <v/>
      </c>
    </row>
    <row r="133">
      <c r="A133" s="2" t="n">
        <v>45728</v>
      </c>
      <c r="B133" t="inlineStr">
        <is>
          <t>T2025-03-126917</t>
        </is>
      </c>
      <c r="C133" t="inlineStr">
        <is>
          <t>V:Sysco B:44829103</t>
        </is>
      </c>
      <c r="D133" t="n">
        <v>4577.6</v>
      </c>
      <c r="E133">
        <f>TRIM(IFERROR(LEFT(C133,FIND(" ",C133)),C133))</f>
        <v/>
      </c>
      <c r="F133">
        <f>IFERROR(VLOOKUP(E133,Categories!A:B,2,FALSE),"Other")</f>
        <v/>
      </c>
    </row>
    <row r="134">
      <c r="A134" s="2" t="n">
        <v>45721</v>
      </c>
      <c r="B134" t="inlineStr">
        <is>
          <t>T2025-03-055259</t>
        </is>
      </c>
      <c r="C134" t="inlineStr">
        <is>
          <t>V:RepairPro B:66738291</t>
        </is>
      </c>
      <c r="D134" t="n">
        <v>2083.2</v>
      </c>
      <c r="E134">
        <f>TRIM(IFERROR(LEFT(C134,FIND(" ",C134)),C134))</f>
        <v/>
      </c>
      <c r="F134">
        <f>IFERROR(VLOOKUP(E134,Categories!A:B,2,FALSE),"Other")</f>
        <v/>
      </c>
    </row>
    <row r="135">
      <c r="A135" s="2" t="n">
        <v>45733</v>
      </c>
      <c r="B135" t="inlineStr">
        <is>
          <t>T2025-03-179764</t>
        </is>
      </c>
      <c r="C135" t="inlineStr">
        <is>
          <t>Pay date 2/15</t>
        </is>
      </c>
      <c r="D135" t="n">
        <v>8835.65</v>
      </c>
      <c r="E135">
        <f>TRIM(IFERROR(LEFT(C135,FIND(" ",C135)),C135))</f>
        <v/>
      </c>
      <c r="F135">
        <f>IFERROR(VLOOKUP(E135,Categories!A:B,2,FALSE),"Other")</f>
        <v/>
      </c>
    </row>
    <row r="136">
      <c r="A136" s="2" t="n">
        <v>45720</v>
      </c>
      <c r="B136" t="inlineStr">
        <is>
          <t>T2025-03-046053</t>
        </is>
      </c>
      <c r="C136" t="inlineStr">
        <is>
          <t>V:InsureCo B:99281734</t>
        </is>
      </c>
      <c r="D136" t="n">
        <v>1470.15</v>
      </c>
      <c r="E136">
        <f>TRIM(IFERROR(LEFT(C136,FIND(" ",C136)),C136))</f>
        <v/>
      </c>
      <c r="F136">
        <f>IFERROR(VLOOKUP(E136,Categories!A:B,2,FALSE),"Other")</f>
        <v/>
      </c>
    </row>
    <row r="137">
      <c r="A137" s="2" t="n">
        <v>45755</v>
      </c>
      <c r="B137" t="inlineStr">
        <is>
          <t>T2025-04-082855</t>
        </is>
      </c>
      <c r="C137" t="inlineStr">
        <is>
          <t>V:Sysco B:44829103</t>
        </is>
      </c>
      <c r="D137" t="n">
        <v>513.17</v>
      </c>
      <c r="E137">
        <f>TRIM(IFERROR(LEFT(C137,FIND(" ",C137)),C137))</f>
        <v/>
      </c>
      <c r="F137">
        <f>IFERROR(VLOOKUP(E137,Categories!A:B,2,FALSE),"Other")</f>
        <v/>
      </c>
    </row>
    <row r="138">
      <c r="A138" s="2" t="n">
        <v>45767</v>
      </c>
      <c r="B138" t="inlineStr">
        <is>
          <t>T2025-04-208224</t>
        </is>
      </c>
      <c r="C138" t="inlineStr">
        <is>
          <t>V:USFoods B:77281934</t>
        </is>
      </c>
      <c r="D138" t="n">
        <v>4664.86</v>
      </c>
      <c r="E138">
        <f>TRIM(IFERROR(LEFT(C138,FIND(" ",C138)),C138))</f>
        <v/>
      </c>
      <c r="F138">
        <f>IFERROR(VLOOKUP(E138,Categories!A:B,2,FALSE),"Other")</f>
        <v/>
      </c>
    </row>
    <row r="139">
      <c r="A139" s="2" t="n">
        <v>45774</v>
      </c>
      <c r="B139" t="inlineStr">
        <is>
          <t>T2025-04-276878</t>
        </is>
      </c>
      <c r="C139" t="inlineStr">
        <is>
          <t>V:PowerGrid B:22918374</t>
        </is>
      </c>
      <c r="D139" t="n">
        <v>4097.2</v>
      </c>
      <c r="E139">
        <f>TRIM(IFERROR(LEFT(C139,FIND(" ",C139)),C139))</f>
        <v/>
      </c>
      <c r="F139">
        <f>IFERROR(VLOOKUP(E139,Categories!A:B,2,FALSE),"Other")</f>
        <v/>
      </c>
    </row>
    <row r="140">
      <c r="A140" s="2" t="n">
        <v>45769</v>
      </c>
      <c r="B140" t="inlineStr">
        <is>
          <t>T2025-04-223167</t>
        </is>
      </c>
      <c r="C140" t="inlineStr">
        <is>
          <t>V:PepsiCo B:33910284</t>
        </is>
      </c>
      <c r="D140" t="n">
        <v>4110.39</v>
      </c>
      <c r="E140">
        <f>TRIM(IFERROR(LEFT(C140,FIND(" ",C140)),C140))</f>
        <v/>
      </c>
      <c r="F140">
        <f>IFERROR(VLOOKUP(E140,Categories!A:B,2,FALSE),"Other")</f>
        <v/>
      </c>
    </row>
    <row r="141">
      <c r="A141" s="2" t="n">
        <v>45760</v>
      </c>
      <c r="B141" t="inlineStr">
        <is>
          <t>T2025-04-134931</t>
        </is>
      </c>
      <c r="C141" t="inlineStr">
        <is>
          <t>V:Sysco B:44829103</t>
        </is>
      </c>
      <c r="D141" t="n">
        <v>2106.03</v>
      </c>
      <c r="E141">
        <f>TRIM(IFERROR(LEFT(C141,FIND(" ",C141)),C141))</f>
        <v/>
      </c>
      <c r="F141">
        <f>IFERROR(VLOOKUP(E141,Categories!A:B,2,FALSE),"Other")</f>
        <v/>
      </c>
    </row>
    <row r="142">
      <c r="A142" s="2" t="n">
        <v>45748</v>
      </c>
      <c r="B142" t="inlineStr">
        <is>
          <t>T2025-04-012373</t>
        </is>
      </c>
      <c r="C142" t="inlineStr">
        <is>
          <t>Pay date 2/15</t>
        </is>
      </c>
      <c r="D142" t="n">
        <v>13620.59</v>
      </c>
      <c r="E142">
        <f>TRIM(IFERROR(LEFT(C142,FIND(" ",C142)),C142))</f>
        <v/>
      </c>
      <c r="F142">
        <f>IFERROR(VLOOKUP(E142,Categories!A:B,2,FALSE),"Other")</f>
        <v/>
      </c>
    </row>
    <row r="143">
      <c r="A143" s="2" t="n">
        <v>45753</v>
      </c>
      <c r="B143" t="inlineStr">
        <is>
          <t>T2025-04-063754</t>
        </is>
      </c>
      <c r="C143" t="inlineStr">
        <is>
          <t>V:OfficeMax B:88372619</t>
        </is>
      </c>
      <c r="D143" t="n">
        <v>1370.08</v>
      </c>
      <c r="E143">
        <f>TRIM(IFERROR(LEFT(C143,FIND(" ",C143)),C143))</f>
        <v/>
      </c>
      <c r="F143">
        <f>IFERROR(VLOOKUP(E143,Categories!A:B,2,FALSE),"Other")</f>
        <v/>
      </c>
    </row>
    <row r="144">
      <c r="A144" s="2" t="n">
        <v>45772</v>
      </c>
      <c r="B144" t="inlineStr">
        <is>
          <t>T2025-04-252063</t>
        </is>
      </c>
      <c r="C144" t="inlineStr">
        <is>
          <t>V:PowerGrid B:22918374</t>
        </is>
      </c>
      <c r="D144" t="n">
        <v>4148.93</v>
      </c>
      <c r="E144">
        <f>TRIM(IFERROR(LEFT(C144,FIND(" ",C144)),C144))</f>
        <v/>
      </c>
      <c r="F144">
        <f>IFERROR(VLOOKUP(E144,Categories!A:B,2,FALSE),"Other")</f>
        <v/>
      </c>
    </row>
    <row r="145">
      <c r="A145" s="2" t="n">
        <v>45775</v>
      </c>
      <c r="B145" t="inlineStr">
        <is>
          <t>T2025-04-287450</t>
        </is>
      </c>
      <c r="C145" t="inlineStr">
        <is>
          <t>V:Sysco B:44829103</t>
        </is>
      </c>
      <c r="D145" t="n">
        <v>653.98</v>
      </c>
      <c r="E145">
        <f>TRIM(IFERROR(LEFT(C145,FIND(" ",C145)),C145))</f>
        <v/>
      </c>
      <c r="F145">
        <f>IFERROR(VLOOKUP(E145,Categories!A:B,2,FALSE),"Other")</f>
        <v/>
      </c>
    </row>
    <row r="146">
      <c r="A146" s="2" t="n">
        <v>45756</v>
      </c>
      <c r="B146" t="inlineStr">
        <is>
          <t>T2025-04-099906</t>
        </is>
      </c>
      <c r="C146" t="inlineStr">
        <is>
          <t>V:MarketingCo B:44738291</t>
        </is>
      </c>
      <c r="D146" t="n">
        <v>315.12</v>
      </c>
      <c r="E146">
        <f>TRIM(IFERROR(LEFT(C146,FIND(" ",C146)),C146))</f>
        <v/>
      </c>
      <c r="F146">
        <f>IFERROR(VLOOKUP(E146,Categories!A:B,2,FALSE),"Other")</f>
        <v/>
      </c>
    </row>
    <row r="147">
      <c r="A147" s="2" t="n">
        <v>45770</v>
      </c>
      <c r="B147" t="inlineStr">
        <is>
          <t>T2025-04-236102</t>
        </is>
      </c>
      <c r="C147" t="inlineStr">
        <is>
          <t>V:CleanCorp B:55192837</t>
        </is>
      </c>
      <c r="D147" t="n">
        <v>4381.38</v>
      </c>
      <c r="E147">
        <f>TRIM(IFERROR(LEFT(C147,FIND(" ",C147)),C147))</f>
        <v/>
      </c>
      <c r="F147">
        <f>IFERROR(VLOOKUP(E147,Categories!A:B,2,FALSE),"Other")</f>
        <v/>
      </c>
    </row>
    <row r="148">
      <c r="A148" s="2" t="n">
        <v>45767</v>
      </c>
      <c r="B148" t="inlineStr">
        <is>
          <t>T2025-04-206541</t>
        </is>
      </c>
      <c r="C148" t="inlineStr">
        <is>
          <t>V:OfficeMax B:88372619</t>
        </is>
      </c>
      <c r="D148" t="n">
        <v>3932.22</v>
      </c>
      <c r="E148">
        <f>TRIM(IFERROR(LEFT(C148,FIND(" ",C148)),C148))</f>
        <v/>
      </c>
      <c r="F148">
        <f>IFERROR(VLOOKUP(E148,Categories!A:B,2,FALSE),"Other")</f>
        <v/>
      </c>
    </row>
    <row r="149">
      <c r="A149" s="2" t="n">
        <v>45748</v>
      </c>
      <c r="B149" t="inlineStr">
        <is>
          <t>T2025-04-014276</t>
        </is>
      </c>
      <c r="C149" t="inlineStr">
        <is>
          <t>Pay date 1/15</t>
        </is>
      </c>
      <c r="D149" t="n">
        <v>9994.200000000001</v>
      </c>
      <c r="E149">
        <f>TRIM(IFERROR(LEFT(C149,FIND(" ",C149)),C149))</f>
        <v/>
      </c>
      <c r="F149">
        <f>IFERROR(VLOOKUP(E149,Categories!A:B,2,FALSE),"Other")</f>
        <v/>
      </c>
    </row>
    <row r="150">
      <c r="A150" s="2" t="n">
        <v>45761</v>
      </c>
      <c r="B150" t="inlineStr">
        <is>
          <t>T2025-04-147925</t>
        </is>
      </c>
      <c r="C150" t="inlineStr">
        <is>
          <t>V:CleanCorp B:55192837</t>
        </is>
      </c>
      <c r="D150" t="n">
        <v>2512.6</v>
      </c>
      <c r="E150">
        <f>TRIM(IFERROR(LEFT(C150,FIND(" ",C150)),C150))</f>
        <v/>
      </c>
      <c r="F150">
        <f>IFERROR(VLOOKUP(E150,Categories!A:B,2,FALSE),"Other")</f>
        <v/>
      </c>
    </row>
    <row r="151">
      <c r="A151" s="2" t="n">
        <v>45750</v>
      </c>
      <c r="B151" t="inlineStr">
        <is>
          <t>T2025-04-031775</t>
        </is>
      </c>
      <c r="C151" t="inlineStr">
        <is>
          <t>Pay date 2/15</t>
        </is>
      </c>
      <c r="D151" t="n">
        <v>9077.700000000001</v>
      </c>
      <c r="E151">
        <f>TRIM(IFERROR(LEFT(C151,FIND(" ",C151)),C151))</f>
        <v/>
      </c>
      <c r="F151">
        <f>IFERROR(VLOOKUP(E151,Categories!A:B,2,FALSE),"Other")</f>
        <v/>
      </c>
    </row>
    <row r="152">
      <c r="A152" s="2" t="n">
        <v>45765</v>
      </c>
      <c r="B152" t="inlineStr">
        <is>
          <t>T2025-04-182027</t>
        </is>
      </c>
      <c r="C152" t="inlineStr">
        <is>
          <t>V:CleanCorp B:55192837</t>
        </is>
      </c>
      <c r="D152" t="n">
        <v>4492.69</v>
      </c>
      <c r="E152">
        <f>TRIM(IFERROR(LEFT(C152,FIND(" ",C152)),C152))</f>
        <v/>
      </c>
      <c r="F152">
        <f>IFERROR(VLOOKUP(E152,Categories!A:B,2,FALSE),"Other")</f>
        <v/>
      </c>
    </row>
    <row r="153">
      <c r="A153" s="2" t="n">
        <v>45762</v>
      </c>
      <c r="B153" t="inlineStr">
        <is>
          <t>T2025-04-157565</t>
        </is>
      </c>
      <c r="C153" t="inlineStr">
        <is>
          <t>V:MarketingCo B:44738291</t>
        </is>
      </c>
      <c r="D153" t="n">
        <v>4827.2</v>
      </c>
      <c r="E153">
        <f>TRIM(IFERROR(LEFT(C153,FIND(" ",C153)),C153))</f>
        <v/>
      </c>
      <c r="F153">
        <f>IFERROR(VLOOKUP(E153,Categories!A:B,2,FALSE),"Other")</f>
        <v/>
      </c>
    </row>
    <row r="154">
      <c r="A154" s="2" t="n">
        <v>45766</v>
      </c>
      <c r="B154" t="inlineStr">
        <is>
          <t>T2025-04-199762</t>
        </is>
      </c>
      <c r="C154" t="inlineStr">
        <is>
          <t>Pay date 2/1</t>
        </is>
      </c>
      <c r="D154" t="n">
        <v>11038.19</v>
      </c>
      <c r="E154">
        <f>TRIM(IFERROR(LEFT(C154,FIND(" ",C154)),C154))</f>
        <v/>
      </c>
      <c r="F154">
        <f>IFERROR(VLOOKUP(E154,Categories!A:B,2,FALSE),"Other")</f>
        <v/>
      </c>
    </row>
    <row r="155">
      <c r="A155" s="2" t="n">
        <v>45759</v>
      </c>
      <c r="B155" t="inlineStr">
        <is>
          <t>T2025-04-124542</t>
        </is>
      </c>
      <c r="C155" t="inlineStr">
        <is>
          <t>V:USFoods B:77281934</t>
        </is>
      </c>
      <c r="D155" t="n">
        <v>4726.93</v>
      </c>
      <c r="E155">
        <f>TRIM(IFERROR(LEFT(C155,FIND(" ",C155)),C155))</f>
        <v/>
      </c>
      <c r="F155">
        <f>IFERROR(VLOOKUP(E155,Categories!A:B,2,FALSE),"Other")</f>
        <v/>
      </c>
    </row>
    <row r="156">
      <c r="A156" s="2" t="n">
        <v>45750</v>
      </c>
      <c r="B156" t="inlineStr">
        <is>
          <t>T2025-04-039764</t>
        </is>
      </c>
      <c r="C156" t="inlineStr">
        <is>
          <t>V:WaterWorks B:11827364</t>
        </is>
      </c>
      <c r="D156" t="n">
        <v>261.52</v>
      </c>
      <c r="E156">
        <f>TRIM(IFERROR(LEFT(C156,FIND(" ",C156)),C156))</f>
        <v/>
      </c>
      <c r="F156">
        <f>IFERROR(VLOOKUP(E156,Categories!A:B,2,FALSE),"Other")</f>
        <v/>
      </c>
    </row>
    <row r="157">
      <c r="A157" s="2" t="n">
        <v>45757</v>
      </c>
      <c r="B157" t="inlineStr">
        <is>
          <t>T2025-04-103558</t>
        </is>
      </c>
      <c r="C157" t="inlineStr">
        <is>
          <t>Pay date 2/1</t>
        </is>
      </c>
      <c r="D157" t="n">
        <v>12726.45</v>
      </c>
      <c r="E157">
        <f>TRIM(IFERROR(LEFT(C157,FIND(" ",C157)),C157))</f>
        <v/>
      </c>
      <c r="F157">
        <f>IFERROR(VLOOKUP(E157,Categories!A:B,2,FALSE),"Other")</f>
        <v/>
      </c>
    </row>
    <row r="158">
      <c r="A158" s="2" t="n">
        <v>45775</v>
      </c>
      <c r="B158" t="inlineStr">
        <is>
          <t>T2025-04-281831</t>
        </is>
      </c>
      <c r="C158" t="inlineStr">
        <is>
          <t>Pay date 1/15</t>
        </is>
      </c>
      <c r="D158" t="n">
        <v>14847.29</v>
      </c>
      <c r="E158">
        <f>TRIM(IFERROR(LEFT(C158,FIND(" ",C158)),C158))</f>
        <v/>
      </c>
      <c r="F158">
        <f>IFERROR(VLOOKUP(E158,Categories!A:B,2,FALSE),"Other")</f>
        <v/>
      </c>
    </row>
    <row r="159">
      <c r="A159" s="2" t="n">
        <v>45774</v>
      </c>
      <c r="B159" t="inlineStr">
        <is>
          <t>T2025-04-278741</t>
        </is>
      </c>
      <c r="C159" t="inlineStr">
        <is>
          <t>V:PowerGrid B:22918374</t>
        </is>
      </c>
      <c r="D159" t="n">
        <v>3996</v>
      </c>
      <c r="E159">
        <f>TRIM(IFERROR(LEFT(C159,FIND(" ",C159)),C159))</f>
        <v/>
      </c>
      <c r="F159">
        <f>IFERROR(VLOOKUP(E159,Categories!A:B,2,FALSE),"Other")</f>
        <v/>
      </c>
    </row>
    <row r="160">
      <c r="A160" s="2" t="n">
        <v>45767</v>
      </c>
      <c r="B160" t="inlineStr">
        <is>
          <t>T2025-04-203989</t>
        </is>
      </c>
      <c r="C160" t="inlineStr">
        <is>
          <t>V:PowerGrid B:22918374</t>
        </is>
      </c>
      <c r="D160" t="n">
        <v>1702.11</v>
      </c>
      <c r="E160">
        <f>TRIM(IFERROR(LEFT(C160,FIND(" ",C160)),C160))</f>
        <v/>
      </c>
      <c r="F160">
        <f>IFERROR(VLOOKUP(E160,Categories!A:B,2,FALSE),"Other")</f>
        <v/>
      </c>
    </row>
    <row r="161">
      <c r="A161" s="2" t="n">
        <v>45768</v>
      </c>
      <c r="B161" t="inlineStr">
        <is>
          <t>T2025-04-212702</t>
        </is>
      </c>
      <c r="C161" t="inlineStr">
        <is>
          <t>Pay date 1/15</t>
        </is>
      </c>
      <c r="D161" t="n">
        <v>11000.44</v>
      </c>
      <c r="E161">
        <f>TRIM(IFERROR(LEFT(C161,FIND(" ",C161)),C161))</f>
        <v/>
      </c>
      <c r="F161">
        <f>IFERROR(VLOOKUP(E161,Categories!A:B,2,FALSE),"Other")</f>
        <v/>
      </c>
    </row>
    <row r="162">
      <c r="A162" s="2" t="n">
        <v>45750</v>
      </c>
      <c r="B162" t="inlineStr">
        <is>
          <t>T2025-04-033227</t>
        </is>
      </c>
      <c r="C162" t="inlineStr">
        <is>
          <t>V:Sysco B:44829103</t>
        </is>
      </c>
      <c r="D162" t="n">
        <v>1119.16</v>
      </c>
      <c r="E162">
        <f>TRIM(IFERROR(LEFT(C162,FIND(" ",C162)),C162))</f>
        <v/>
      </c>
      <c r="F162">
        <f>IFERROR(VLOOKUP(E162,Categories!A:B,2,FALSE),"Other")</f>
        <v/>
      </c>
    </row>
    <row r="163">
      <c r="A163" s="2" t="n">
        <v>45773</v>
      </c>
      <c r="B163" t="inlineStr">
        <is>
          <t>T2025-04-269357</t>
        </is>
      </c>
      <c r="C163" t="inlineStr">
        <is>
          <t>Pay date 2/1</t>
        </is>
      </c>
      <c r="D163" t="n">
        <v>10113.74</v>
      </c>
      <c r="E163">
        <f>TRIM(IFERROR(LEFT(C163,FIND(" ",C163)),C163))</f>
        <v/>
      </c>
      <c r="F163">
        <f>IFERROR(VLOOKUP(E163,Categories!A:B,2,FALSE),"Other")</f>
        <v/>
      </c>
    </row>
    <row r="164">
      <c r="A164" s="2" t="n">
        <v>45761</v>
      </c>
      <c r="B164" t="inlineStr">
        <is>
          <t>T2025-04-144015</t>
        </is>
      </c>
      <c r="C164" t="inlineStr">
        <is>
          <t>Pay date 2/1</t>
        </is>
      </c>
      <c r="D164" t="n">
        <v>10876.82</v>
      </c>
      <c r="E164">
        <f>TRIM(IFERROR(LEFT(C164,FIND(" ",C164)),C164))</f>
        <v/>
      </c>
      <c r="F164">
        <f>IFERROR(VLOOKUP(E164,Categories!A:B,2,FALSE),"Other")</f>
        <v/>
      </c>
    </row>
    <row r="165">
      <c r="A165" s="2" t="n">
        <v>45765</v>
      </c>
      <c r="B165" t="inlineStr">
        <is>
          <t>T2025-04-182501</t>
        </is>
      </c>
      <c r="C165" t="inlineStr">
        <is>
          <t>V:OfficeMax B:88372619</t>
        </is>
      </c>
      <c r="D165" t="n">
        <v>4233.57</v>
      </c>
      <c r="E165">
        <f>TRIM(IFERROR(LEFT(C165,FIND(" ",C165)),C165))</f>
        <v/>
      </c>
      <c r="F165">
        <f>IFERROR(VLOOKUP(E165,Categories!A:B,2,FALSE),"Other")</f>
        <v/>
      </c>
    </row>
    <row r="166">
      <c r="A166" s="2" t="n">
        <v>45775</v>
      </c>
      <c r="B166" t="inlineStr">
        <is>
          <t>T2025-04-283359</t>
        </is>
      </c>
      <c r="C166" t="inlineStr">
        <is>
          <t>V:Sysco B:44829103</t>
        </is>
      </c>
      <c r="D166" t="n">
        <v>4456.89</v>
      </c>
      <c r="E166">
        <f>TRIM(IFERROR(LEFT(C166,FIND(" ",C166)),C166))</f>
        <v/>
      </c>
      <c r="F166">
        <f>IFERROR(VLOOKUP(E166,Categories!A:B,2,FALSE),"Other")</f>
        <v/>
      </c>
    </row>
    <row r="167">
      <c r="A167" s="2" t="n">
        <v>45764</v>
      </c>
      <c r="B167" t="inlineStr">
        <is>
          <t>T2025-04-172656</t>
        </is>
      </c>
      <c r="C167" t="inlineStr">
        <is>
          <t>Pay date 2/15</t>
        </is>
      </c>
      <c r="D167" t="n">
        <v>12647.01</v>
      </c>
      <c r="E167">
        <f>TRIM(IFERROR(LEFT(C167,FIND(" ",C167)),C167))</f>
        <v/>
      </c>
      <c r="F167">
        <f>IFERROR(VLOOKUP(E167,Categories!A:B,2,FALSE),"Other")</f>
        <v/>
      </c>
    </row>
    <row r="168">
      <c r="A168" s="2" t="n">
        <v>45762</v>
      </c>
      <c r="B168" t="inlineStr">
        <is>
          <t>T2025-04-158854</t>
        </is>
      </c>
      <c r="C168" t="inlineStr">
        <is>
          <t>Pay date 1/15</t>
        </is>
      </c>
      <c r="D168" t="n">
        <v>13589.83</v>
      </c>
      <c r="E168">
        <f>TRIM(IFERROR(LEFT(C168,FIND(" ",C168)),C168))</f>
        <v/>
      </c>
      <c r="F168">
        <f>IFERROR(VLOOKUP(E168,Categories!A:B,2,FALSE),"Other")</f>
        <v/>
      </c>
    </row>
    <row r="169">
      <c r="A169" s="2" t="n">
        <v>45748</v>
      </c>
      <c r="B169" t="inlineStr">
        <is>
          <t>T2025-04-018625</t>
        </is>
      </c>
      <c r="C169" t="inlineStr">
        <is>
          <t>V:InsureCo B:99281734</t>
        </is>
      </c>
      <c r="D169" t="n">
        <v>1516.48</v>
      </c>
      <c r="E169">
        <f>TRIM(IFERROR(LEFT(C169,FIND(" ",C169)),C169))</f>
        <v/>
      </c>
      <c r="F169">
        <f>IFERROR(VLOOKUP(E169,Categories!A:B,2,FALSE),"Other")</f>
        <v/>
      </c>
    </row>
    <row r="170">
      <c r="A170" s="2" t="n">
        <v>45759</v>
      </c>
      <c r="B170" t="inlineStr">
        <is>
          <t>T2025-04-126548</t>
        </is>
      </c>
      <c r="C170" t="inlineStr">
        <is>
          <t>Pay date 1/15</t>
        </is>
      </c>
      <c r="D170" t="n">
        <v>13834.48</v>
      </c>
      <c r="E170">
        <f>TRIM(IFERROR(LEFT(C170,FIND(" ",C170)),C170))</f>
        <v/>
      </c>
      <c r="F170">
        <f>IFERROR(VLOOKUP(E170,Categories!A:B,2,FALSE),"Other")</f>
        <v/>
      </c>
    </row>
    <row r="171">
      <c r="A171" s="2" t="n">
        <v>45754</v>
      </c>
      <c r="B171" t="inlineStr">
        <is>
          <t>T2025-04-071858</t>
        </is>
      </c>
      <c r="C171" t="inlineStr">
        <is>
          <t>V:PepsiCo B:33910284</t>
        </is>
      </c>
      <c r="D171" t="n">
        <v>246.4</v>
      </c>
      <c r="E171">
        <f>TRIM(IFERROR(LEFT(C171,FIND(" ",C171)),C171))</f>
        <v/>
      </c>
      <c r="F171">
        <f>IFERROR(VLOOKUP(E171,Categories!A:B,2,FALSE),"Other")</f>
        <v/>
      </c>
    </row>
    <row r="172">
      <c r="A172" s="2" t="n">
        <v>45766</v>
      </c>
      <c r="B172" t="inlineStr">
        <is>
          <t>T2025-04-197102</t>
        </is>
      </c>
      <c r="C172" t="inlineStr">
        <is>
          <t>V:USFoods B:77281934</t>
        </is>
      </c>
      <c r="D172" t="n">
        <v>2479.61</v>
      </c>
      <c r="E172">
        <f>TRIM(IFERROR(LEFT(C172,FIND(" ",C172)),C172))</f>
        <v/>
      </c>
      <c r="F172">
        <f>IFERROR(VLOOKUP(E172,Categories!A:B,2,FALSE),"Other")</f>
        <v/>
      </c>
    </row>
    <row r="173">
      <c r="A173" s="2" t="n">
        <v>45772</v>
      </c>
      <c r="B173" t="inlineStr">
        <is>
          <t>T2025-04-252715</t>
        </is>
      </c>
      <c r="C173" t="inlineStr">
        <is>
          <t>V:PowerGrid B:22918374</t>
        </is>
      </c>
      <c r="D173" t="n">
        <v>3333.33</v>
      </c>
      <c r="E173">
        <f>TRIM(IFERROR(LEFT(C173,FIND(" ",C173)),C173))</f>
        <v/>
      </c>
      <c r="F173">
        <f>IFERROR(VLOOKUP(E173,Categories!A:B,2,FALSE),"Other")</f>
        <v/>
      </c>
    </row>
    <row r="174">
      <c r="A174" s="2" t="n">
        <v>45769</v>
      </c>
      <c r="B174" t="inlineStr">
        <is>
          <t>T2025-04-227286</t>
        </is>
      </c>
      <c r="C174" t="inlineStr">
        <is>
          <t>V:MarketingCo B:44738291</t>
        </is>
      </c>
      <c r="D174" t="n">
        <v>410.55</v>
      </c>
      <c r="E174">
        <f>TRIM(IFERROR(LEFT(C174,FIND(" ",C174)),C174))</f>
        <v/>
      </c>
      <c r="F174">
        <f>IFERROR(VLOOKUP(E174,Categories!A:B,2,FALSE),"Other")</f>
        <v/>
      </c>
    </row>
    <row r="175">
      <c r="A175" s="2" t="n">
        <v>45752</v>
      </c>
      <c r="B175" t="inlineStr">
        <is>
          <t>T2025-04-052629</t>
        </is>
      </c>
      <c r="C175" t="inlineStr">
        <is>
          <t>V:OfficeMax B:88372619</t>
        </is>
      </c>
      <c r="D175" t="n">
        <v>3414.17</v>
      </c>
      <c r="E175">
        <f>TRIM(IFERROR(LEFT(C175,FIND(" ",C175)),C175))</f>
        <v/>
      </c>
      <c r="F175">
        <f>IFERROR(VLOOKUP(E175,Categories!A:B,2,FALSE),"Other")</f>
        <v/>
      </c>
    </row>
    <row r="176">
      <c r="A176" s="2" t="n">
        <v>45772</v>
      </c>
      <c r="B176" t="inlineStr">
        <is>
          <t>T2025-04-254796</t>
        </is>
      </c>
      <c r="C176" t="inlineStr">
        <is>
          <t>V:WaterWorks B:11827364</t>
        </is>
      </c>
      <c r="D176" t="n">
        <v>4669.03</v>
      </c>
      <c r="E176">
        <f>TRIM(IFERROR(LEFT(C176,FIND(" ",C176)),C176))</f>
        <v/>
      </c>
      <c r="F176">
        <f>IFERROR(VLOOKUP(E176,Categories!A:B,2,FALSE),"Other")</f>
        <v/>
      </c>
    </row>
    <row r="177">
      <c r="A177" s="2" t="n">
        <v>45768</v>
      </c>
      <c r="B177" t="inlineStr">
        <is>
          <t>T2025-04-217819</t>
        </is>
      </c>
      <c r="C177" t="inlineStr">
        <is>
          <t>Pay date 2/15</t>
        </is>
      </c>
      <c r="D177" t="n">
        <v>10346.74</v>
      </c>
      <c r="E177">
        <f>TRIM(IFERROR(LEFT(C177,FIND(" ",C177)),C177))</f>
        <v/>
      </c>
      <c r="F177">
        <f>IFERROR(VLOOKUP(E177,Categories!A:B,2,FALSE),"Other")</f>
        <v/>
      </c>
    </row>
    <row r="178">
      <c r="A178" s="2" t="n">
        <v>45773</v>
      </c>
      <c r="B178" t="inlineStr">
        <is>
          <t>T2025-04-268878</t>
        </is>
      </c>
      <c r="C178" t="inlineStr">
        <is>
          <t>Pay date 2/15</t>
        </is>
      </c>
      <c r="D178" t="n">
        <v>9871.93</v>
      </c>
      <c r="E178">
        <f>TRIM(IFERROR(LEFT(C178,FIND(" ",C178)),C178))</f>
        <v/>
      </c>
      <c r="F178">
        <f>IFERROR(VLOOKUP(E178,Categories!A:B,2,FALSE),"Other")</f>
        <v/>
      </c>
    </row>
    <row r="179">
      <c r="A179" s="2" t="n">
        <v>45753</v>
      </c>
      <c r="B179" t="inlineStr">
        <is>
          <t>T2025-04-061864</t>
        </is>
      </c>
      <c r="C179" t="inlineStr">
        <is>
          <t>V:CleanCorp B:55192837</t>
        </is>
      </c>
      <c r="D179" t="n">
        <v>555.46</v>
      </c>
      <c r="E179">
        <f>TRIM(IFERROR(LEFT(C179,FIND(" ",C179)),C179))</f>
        <v/>
      </c>
      <c r="F179">
        <f>IFERROR(VLOOKUP(E179,Categories!A:B,2,FALSE),"Other")</f>
        <v/>
      </c>
    </row>
    <row r="180">
      <c r="A180" s="2" t="n">
        <v>45770</v>
      </c>
      <c r="B180" t="inlineStr">
        <is>
          <t>T2025-04-233354</t>
        </is>
      </c>
      <c r="C180" t="inlineStr">
        <is>
          <t>V:OfficeMax B:88372619</t>
        </is>
      </c>
      <c r="D180" t="n">
        <v>3570.32</v>
      </c>
      <c r="E180">
        <f>TRIM(IFERROR(LEFT(C180,FIND(" ",C180)),C180))</f>
        <v/>
      </c>
      <c r="F180">
        <f>IFERROR(VLOOKUP(E180,Categories!A:B,2,FALSE),"Other")</f>
        <v/>
      </c>
    </row>
    <row r="181">
      <c r="A181" s="2" t="n">
        <v>45779</v>
      </c>
      <c r="B181" t="inlineStr">
        <is>
          <t>T2025-05-023740</t>
        </is>
      </c>
      <c r="C181" t="inlineStr">
        <is>
          <t>V:PepsiCo B:33910284</t>
        </is>
      </c>
      <c r="D181" t="n">
        <v>778.49</v>
      </c>
      <c r="E181">
        <f>TRIM(IFERROR(LEFT(C181,FIND(" ",C181)),C181))</f>
        <v/>
      </c>
      <c r="F181">
        <f>IFERROR(VLOOKUP(E181,Categories!A:B,2,FALSE),"Other")</f>
        <v/>
      </c>
    </row>
    <row r="182">
      <c r="A182" s="2" t="n">
        <v>45799</v>
      </c>
      <c r="B182" t="inlineStr">
        <is>
          <t>T2025-05-225080</t>
        </is>
      </c>
      <c r="C182" t="inlineStr">
        <is>
          <t>Pay date 1/15</t>
        </is>
      </c>
      <c r="D182" t="n">
        <v>13664.77</v>
      </c>
      <c r="E182">
        <f>TRIM(IFERROR(LEFT(C182,FIND(" ",C182)),C182))</f>
        <v/>
      </c>
      <c r="F182">
        <f>IFERROR(VLOOKUP(E182,Categories!A:B,2,FALSE),"Other")</f>
        <v/>
      </c>
    </row>
    <row r="183">
      <c r="A183" s="2" t="n">
        <v>45794</v>
      </c>
      <c r="B183" t="inlineStr">
        <is>
          <t>T2025-05-179194</t>
        </is>
      </c>
      <c r="C183" t="inlineStr">
        <is>
          <t>Pay date 1/15</t>
        </is>
      </c>
      <c r="D183" t="n">
        <v>14880.7</v>
      </c>
      <c r="E183">
        <f>TRIM(IFERROR(LEFT(C183,FIND(" ",C183)),C183))</f>
        <v/>
      </c>
      <c r="F183">
        <f>IFERROR(VLOOKUP(E183,Categories!A:B,2,FALSE),"Other")</f>
        <v/>
      </c>
    </row>
    <row r="184">
      <c r="A184" s="2" t="n">
        <v>45799</v>
      </c>
      <c r="B184" t="inlineStr">
        <is>
          <t>T2025-05-225533</t>
        </is>
      </c>
      <c r="C184" t="inlineStr">
        <is>
          <t>V:Sysco B:44829103</t>
        </is>
      </c>
      <c r="D184" t="n">
        <v>2379.46</v>
      </c>
      <c r="E184">
        <f>TRIM(IFERROR(LEFT(C184,FIND(" ",C184)),C184))</f>
        <v/>
      </c>
      <c r="F184">
        <f>IFERROR(VLOOKUP(E184,Categories!A:B,2,FALSE),"Other")</f>
        <v/>
      </c>
    </row>
    <row r="185">
      <c r="A185" s="2" t="n">
        <v>45789</v>
      </c>
      <c r="B185" t="inlineStr">
        <is>
          <t>T2025-05-122095</t>
        </is>
      </c>
      <c r="C185" t="inlineStr">
        <is>
          <t>Pay date 1/15</t>
        </is>
      </c>
      <c r="D185" t="n">
        <v>11071.36</v>
      </c>
      <c r="E185">
        <f>TRIM(IFERROR(LEFT(C185,FIND(" ",C185)),C185))</f>
        <v/>
      </c>
      <c r="F185">
        <f>IFERROR(VLOOKUP(E185,Categories!A:B,2,FALSE),"Other")</f>
        <v/>
      </c>
    </row>
    <row r="186">
      <c r="A186" s="2" t="n">
        <v>45791</v>
      </c>
      <c r="B186" t="inlineStr">
        <is>
          <t>T2025-05-146219</t>
        </is>
      </c>
      <c r="C186" t="inlineStr">
        <is>
          <t>Pay date 2/1</t>
        </is>
      </c>
      <c r="D186" t="n">
        <v>11306.67</v>
      </c>
      <c r="E186">
        <f>TRIM(IFERROR(LEFT(C186,FIND(" ",C186)),C186))</f>
        <v/>
      </c>
      <c r="F186">
        <f>IFERROR(VLOOKUP(E186,Categories!A:B,2,FALSE),"Other")</f>
        <v/>
      </c>
    </row>
    <row r="187">
      <c r="A187" s="2" t="n">
        <v>45779</v>
      </c>
      <c r="B187" t="inlineStr">
        <is>
          <t>T2025-05-022445</t>
        </is>
      </c>
      <c r="C187" t="inlineStr">
        <is>
          <t>Pay date 1/15</t>
        </is>
      </c>
      <c r="D187" t="n">
        <v>10915.07</v>
      </c>
      <c r="E187">
        <f>TRIM(IFERROR(LEFT(C187,FIND(" ",C187)),C187))</f>
        <v/>
      </c>
      <c r="F187">
        <f>IFERROR(VLOOKUP(E187,Categories!A:B,2,FALSE),"Other")</f>
        <v/>
      </c>
    </row>
    <row r="188">
      <c r="A188" s="2" t="n">
        <v>45788</v>
      </c>
      <c r="B188" t="inlineStr">
        <is>
          <t>T2025-05-112829</t>
        </is>
      </c>
      <c r="C188" t="inlineStr">
        <is>
          <t>V:WaterWorks B:11827364</t>
        </is>
      </c>
      <c r="D188" t="n">
        <v>2346.02</v>
      </c>
      <c r="E188">
        <f>TRIM(IFERROR(LEFT(C188,FIND(" ",C188)),C188))</f>
        <v/>
      </c>
      <c r="F188">
        <f>IFERROR(VLOOKUP(E188,Categories!A:B,2,FALSE),"Other")</f>
        <v/>
      </c>
    </row>
    <row r="189">
      <c r="A189" s="2" t="n">
        <v>45779</v>
      </c>
      <c r="B189" t="inlineStr">
        <is>
          <t>T2025-05-024904</t>
        </is>
      </c>
      <c r="C189" t="inlineStr">
        <is>
          <t>Pay date 2/1</t>
        </is>
      </c>
      <c r="D189" t="n">
        <v>10555.96</v>
      </c>
      <c r="E189">
        <f>TRIM(IFERROR(LEFT(C189,FIND(" ",C189)),C189))</f>
        <v/>
      </c>
      <c r="F189">
        <f>IFERROR(VLOOKUP(E189,Categories!A:B,2,FALSE),"Other")</f>
        <v/>
      </c>
    </row>
    <row r="190">
      <c r="A190" s="2" t="n">
        <v>45800</v>
      </c>
      <c r="B190" t="inlineStr">
        <is>
          <t>T2025-05-238800</t>
        </is>
      </c>
      <c r="C190" t="inlineStr">
        <is>
          <t>V:OfficeMax B:88372619</t>
        </is>
      </c>
      <c r="D190" t="n">
        <v>3489.98</v>
      </c>
      <c r="E190">
        <f>TRIM(IFERROR(LEFT(C190,FIND(" ",C190)),C190))</f>
        <v/>
      </c>
      <c r="F190">
        <f>IFERROR(VLOOKUP(E190,Categories!A:B,2,FALSE),"Other")</f>
        <v/>
      </c>
    </row>
    <row r="191">
      <c r="A191" s="2" t="n">
        <v>45801</v>
      </c>
      <c r="B191" t="inlineStr">
        <is>
          <t>T2025-05-244826</t>
        </is>
      </c>
      <c r="C191" t="inlineStr">
        <is>
          <t>Pay date 2/15</t>
        </is>
      </c>
      <c r="D191" t="n">
        <v>12866.31</v>
      </c>
      <c r="E191">
        <f>TRIM(IFERROR(LEFT(C191,FIND(" ",C191)),C191))</f>
        <v/>
      </c>
      <c r="F191">
        <f>IFERROR(VLOOKUP(E191,Categories!A:B,2,FALSE),"Other")</f>
        <v/>
      </c>
    </row>
    <row r="192">
      <c r="A192" s="2" t="n">
        <v>45779</v>
      </c>
      <c r="B192" t="inlineStr">
        <is>
          <t>T2025-05-028352</t>
        </is>
      </c>
      <c r="C192" t="inlineStr">
        <is>
          <t>V:PepsiCo B:33910284</t>
        </is>
      </c>
      <c r="D192" t="n">
        <v>677.02</v>
      </c>
      <c r="E192">
        <f>TRIM(IFERROR(LEFT(C192,FIND(" ",C192)),C192))</f>
        <v/>
      </c>
      <c r="F192">
        <f>IFERROR(VLOOKUP(E192,Categories!A:B,2,FALSE),"Other")</f>
        <v/>
      </c>
    </row>
    <row r="193">
      <c r="A193" s="2" t="n">
        <v>45784</v>
      </c>
      <c r="B193" t="inlineStr">
        <is>
          <t>T2025-05-071233</t>
        </is>
      </c>
      <c r="C193" t="inlineStr">
        <is>
          <t>Pay date 1/15</t>
        </is>
      </c>
      <c r="D193" t="n">
        <v>10999.97</v>
      </c>
      <c r="E193">
        <f>TRIM(IFERROR(LEFT(C193,FIND(" ",C193)),C193))</f>
        <v/>
      </c>
      <c r="F193">
        <f>IFERROR(VLOOKUP(E193,Categories!A:B,2,FALSE),"Other")</f>
        <v/>
      </c>
    </row>
    <row r="194">
      <c r="A194" s="2" t="n">
        <v>45789</v>
      </c>
      <c r="B194" t="inlineStr">
        <is>
          <t>T2025-05-126840</t>
        </is>
      </c>
      <c r="C194" t="inlineStr">
        <is>
          <t>Pay date 1/15</t>
        </is>
      </c>
      <c r="D194" t="n">
        <v>9884.18</v>
      </c>
      <c r="E194">
        <f>TRIM(IFERROR(LEFT(C194,FIND(" ",C194)),C194))</f>
        <v/>
      </c>
      <c r="F194">
        <f>IFERROR(VLOOKUP(E194,Categories!A:B,2,FALSE),"Other")</f>
        <v/>
      </c>
    </row>
    <row r="195">
      <c r="A195" s="2" t="n">
        <v>45795</v>
      </c>
      <c r="B195" t="inlineStr">
        <is>
          <t>T2025-05-186668</t>
        </is>
      </c>
      <c r="C195" t="inlineStr">
        <is>
          <t>V:RepairPro B:66738291</t>
        </is>
      </c>
      <c r="D195" t="n">
        <v>3387</v>
      </c>
      <c r="E195">
        <f>TRIM(IFERROR(LEFT(C195,FIND(" ",C195)),C195))</f>
        <v/>
      </c>
      <c r="F195">
        <f>IFERROR(VLOOKUP(E195,Categories!A:B,2,FALSE),"Other")</f>
        <v/>
      </c>
    </row>
    <row r="196">
      <c r="A196" s="2" t="n">
        <v>45784</v>
      </c>
      <c r="B196" t="inlineStr">
        <is>
          <t>T2025-05-079472</t>
        </is>
      </c>
      <c r="C196" t="inlineStr">
        <is>
          <t>Pay date 2/15</t>
        </is>
      </c>
      <c r="D196" t="n">
        <v>11908.84</v>
      </c>
      <c r="E196">
        <f>TRIM(IFERROR(LEFT(C196,FIND(" ",C196)),C196))</f>
        <v/>
      </c>
      <c r="F196">
        <f>IFERROR(VLOOKUP(E196,Categories!A:B,2,FALSE),"Other")</f>
        <v/>
      </c>
    </row>
    <row r="197">
      <c r="A197" s="2" t="n">
        <v>45778</v>
      </c>
      <c r="B197" t="inlineStr">
        <is>
          <t>T2025-05-017888</t>
        </is>
      </c>
      <c r="C197" t="inlineStr">
        <is>
          <t>V:MarketingCo B:44738291</t>
        </is>
      </c>
      <c r="D197" t="n">
        <v>2456.04</v>
      </c>
      <c r="E197">
        <f>TRIM(IFERROR(LEFT(C197,FIND(" ",C197)),C197))</f>
        <v/>
      </c>
      <c r="F197">
        <f>IFERROR(VLOOKUP(E197,Categories!A:B,2,FALSE),"Other")</f>
        <v/>
      </c>
    </row>
    <row r="198">
      <c r="A198" s="2" t="n">
        <v>45790</v>
      </c>
      <c r="B198" t="inlineStr">
        <is>
          <t>T2025-05-134005</t>
        </is>
      </c>
      <c r="C198" t="inlineStr">
        <is>
          <t>Pay date 2/1</t>
        </is>
      </c>
      <c r="D198" t="n">
        <v>13589.99</v>
      </c>
      <c r="E198">
        <f>TRIM(IFERROR(LEFT(C198,FIND(" ",C198)),C198))</f>
        <v/>
      </c>
      <c r="F198">
        <f>IFERROR(VLOOKUP(E198,Categories!A:B,2,FALSE),"Other")</f>
        <v/>
      </c>
    </row>
    <row r="199">
      <c r="A199" s="2" t="n">
        <v>45789</v>
      </c>
      <c r="B199" t="inlineStr">
        <is>
          <t>T2025-05-127794</t>
        </is>
      </c>
      <c r="C199" t="inlineStr">
        <is>
          <t>V:CleanCorp B:55192837</t>
        </is>
      </c>
      <c r="D199" t="n">
        <v>1678.99</v>
      </c>
      <c r="E199">
        <f>TRIM(IFERROR(LEFT(C199,FIND(" ",C199)),C199))</f>
        <v/>
      </c>
      <c r="F199">
        <f>IFERROR(VLOOKUP(E199,Categories!A:B,2,FALSE),"Other")</f>
        <v/>
      </c>
    </row>
    <row r="200">
      <c r="A200" s="2" t="n">
        <v>45801</v>
      </c>
      <c r="B200" t="inlineStr">
        <is>
          <t>T2025-05-242200</t>
        </is>
      </c>
      <c r="C200" t="inlineStr">
        <is>
          <t>V:WaterWorks B:11827364</t>
        </is>
      </c>
      <c r="D200" t="n">
        <v>628.97</v>
      </c>
      <c r="E200">
        <f>TRIM(IFERROR(LEFT(C200,FIND(" ",C200)),C200))</f>
        <v/>
      </c>
      <c r="F200">
        <f>IFERROR(VLOOKUP(E200,Categories!A:B,2,FALSE),"Other")</f>
        <v/>
      </c>
    </row>
    <row r="201">
      <c r="A201" s="2" t="n">
        <v>45789</v>
      </c>
      <c r="B201" t="inlineStr">
        <is>
          <t>T2025-05-122679</t>
        </is>
      </c>
      <c r="C201" t="inlineStr">
        <is>
          <t>V:OfficeMax B:88372619</t>
        </is>
      </c>
      <c r="D201" t="n">
        <v>4694.24</v>
      </c>
      <c r="E201">
        <f>TRIM(IFERROR(LEFT(C201,FIND(" ",C201)),C201))</f>
        <v/>
      </c>
      <c r="F201">
        <f>IFERROR(VLOOKUP(E201,Categories!A:B,2,FALSE),"Other")</f>
        <v/>
      </c>
    </row>
    <row r="202">
      <c r="A202" s="2" t="n">
        <v>45784</v>
      </c>
      <c r="B202" t="inlineStr">
        <is>
          <t>T2025-05-072983</t>
        </is>
      </c>
      <c r="C202" t="inlineStr">
        <is>
          <t>V:RepairPro B:66738291</t>
        </is>
      </c>
      <c r="D202" t="n">
        <v>493.71</v>
      </c>
      <c r="E202">
        <f>TRIM(IFERROR(LEFT(C202,FIND(" ",C202)),C202))</f>
        <v/>
      </c>
      <c r="F202">
        <f>IFERROR(VLOOKUP(E202,Categories!A:B,2,FALSE),"Other")</f>
        <v/>
      </c>
    </row>
    <row r="203">
      <c r="A203" s="2" t="n">
        <v>45789</v>
      </c>
      <c r="B203" t="inlineStr">
        <is>
          <t>T2025-05-122071</t>
        </is>
      </c>
      <c r="C203" t="inlineStr">
        <is>
          <t>V:PepsiCo B:33910284</t>
        </is>
      </c>
      <c r="D203" t="n">
        <v>990.61</v>
      </c>
      <c r="E203">
        <f>TRIM(IFERROR(LEFT(C203,FIND(" ",C203)),C203))</f>
        <v/>
      </c>
      <c r="F203">
        <f>IFERROR(VLOOKUP(E203,Categories!A:B,2,FALSE),"Other")</f>
        <v/>
      </c>
    </row>
    <row r="204">
      <c r="A204" s="2" t="n">
        <v>45791</v>
      </c>
      <c r="B204" t="inlineStr">
        <is>
          <t>T2025-05-148156</t>
        </is>
      </c>
      <c r="C204" t="inlineStr">
        <is>
          <t>Pay date 1/15</t>
        </is>
      </c>
      <c r="D204" t="n">
        <v>11139.48</v>
      </c>
      <c r="E204">
        <f>TRIM(IFERROR(LEFT(C204,FIND(" ",C204)),C204))</f>
        <v/>
      </c>
      <c r="F204">
        <f>IFERROR(VLOOKUP(E204,Categories!A:B,2,FALSE),"Other")</f>
        <v/>
      </c>
    </row>
    <row r="205">
      <c r="A205" s="2" t="n">
        <v>45792</v>
      </c>
      <c r="B205" t="inlineStr">
        <is>
          <t>T2025-05-155900</t>
        </is>
      </c>
      <c r="C205" t="inlineStr">
        <is>
          <t>Pay date 2/1</t>
        </is>
      </c>
      <c r="D205" t="n">
        <v>8360.84</v>
      </c>
      <c r="E205">
        <f>TRIM(IFERROR(LEFT(C205,FIND(" ",C205)),C205))</f>
        <v/>
      </c>
      <c r="F205">
        <f>IFERROR(VLOOKUP(E205,Categories!A:B,2,FALSE),"Other")</f>
        <v/>
      </c>
    </row>
    <row r="206">
      <c r="A206" s="2" t="n">
        <v>45794</v>
      </c>
      <c r="B206" t="inlineStr">
        <is>
          <t>T2025-05-176444</t>
        </is>
      </c>
      <c r="C206" t="inlineStr">
        <is>
          <t>V:PowerGrid B:22918374</t>
        </is>
      </c>
      <c r="D206" t="n">
        <v>1913.3</v>
      </c>
      <c r="E206">
        <f>TRIM(IFERROR(LEFT(C206,FIND(" ",C206)),C206))</f>
        <v/>
      </c>
      <c r="F206">
        <f>IFERROR(VLOOKUP(E206,Categories!A:B,2,FALSE),"Other")</f>
        <v/>
      </c>
    </row>
    <row r="207">
      <c r="A207" s="2" t="n">
        <v>45789</v>
      </c>
      <c r="B207" t="inlineStr">
        <is>
          <t>T2025-05-124038</t>
        </is>
      </c>
      <c r="C207" t="inlineStr">
        <is>
          <t>V:InsureCo B:99281734</t>
        </is>
      </c>
      <c r="D207" t="n">
        <v>362.38</v>
      </c>
      <c r="E207">
        <f>TRIM(IFERROR(LEFT(C207,FIND(" ",C207)),C207))</f>
        <v/>
      </c>
      <c r="F207">
        <f>IFERROR(VLOOKUP(E207,Categories!A:B,2,FALSE),"Other")</f>
        <v/>
      </c>
    </row>
    <row r="208">
      <c r="A208" s="2" t="n">
        <v>45781</v>
      </c>
      <c r="B208" t="inlineStr">
        <is>
          <t>T2025-05-049193</t>
        </is>
      </c>
      <c r="C208" t="inlineStr">
        <is>
          <t>V:Sysco B:44829103</t>
        </is>
      </c>
      <c r="D208" t="n">
        <v>2249.74</v>
      </c>
      <c r="E208">
        <f>TRIM(IFERROR(LEFT(C208,FIND(" ",C208)),C208))</f>
        <v/>
      </c>
      <c r="F208">
        <f>IFERROR(VLOOKUP(E208,Categories!A:B,2,FALSE),"Other")</f>
        <v/>
      </c>
    </row>
    <row r="209">
      <c r="A209" s="2" t="n">
        <v>45788</v>
      </c>
      <c r="B209" t="inlineStr">
        <is>
          <t>T2025-05-115702</t>
        </is>
      </c>
      <c r="C209" t="inlineStr">
        <is>
          <t>V:Sysco B:44829103</t>
        </is>
      </c>
      <c r="D209" t="n">
        <v>4134.89</v>
      </c>
      <c r="E209">
        <f>TRIM(IFERROR(LEFT(C209,FIND(" ",C209)),C209))</f>
        <v/>
      </c>
      <c r="F209">
        <f>IFERROR(VLOOKUP(E209,Categories!A:B,2,FALSE),"Other")</f>
        <v/>
      </c>
    </row>
    <row r="210">
      <c r="A210" s="2" t="n">
        <v>45788</v>
      </c>
      <c r="B210" t="inlineStr">
        <is>
          <t>T2025-05-118728</t>
        </is>
      </c>
      <c r="C210" t="inlineStr">
        <is>
          <t>Pay date 2/1</t>
        </is>
      </c>
      <c r="D210" t="n">
        <v>10238.54</v>
      </c>
      <c r="E210">
        <f>TRIM(IFERROR(LEFT(C210,FIND(" ",C210)),C210))</f>
        <v/>
      </c>
      <c r="F210">
        <f>IFERROR(VLOOKUP(E210,Categories!A:B,2,FALSE),"Other")</f>
        <v/>
      </c>
    </row>
    <row r="211">
      <c r="A211" s="2" t="n">
        <v>45789</v>
      </c>
      <c r="B211" t="inlineStr">
        <is>
          <t>T2025-05-121564</t>
        </is>
      </c>
      <c r="C211" t="inlineStr">
        <is>
          <t>V:CleanCorp B:55192837</t>
        </is>
      </c>
      <c r="D211" t="n">
        <v>2695.25</v>
      </c>
      <c r="E211">
        <f>TRIM(IFERROR(LEFT(C211,FIND(" ",C211)),C211))</f>
        <v/>
      </c>
      <c r="F211">
        <f>IFERROR(VLOOKUP(E211,Categories!A:B,2,FALSE),"Other")</f>
        <v/>
      </c>
    </row>
    <row r="212">
      <c r="A212" s="2" t="n">
        <v>45797</v>
      </c>
      <c r="B212" t="inlineStr">
        <is>
          <t>T2025-05-204407</t>
        </is>
      </c>
      <c r="C212" t="inlineStr">
        <is>
          <t>V:WaterWorks B:11827364</t>
        </is>
      </c>
      <c r="D212" t="n">
        <v>4199.96</v>
      </c>
      <c r="E212">
        <f>TRIM(IFERROR(LEFT(C212,FIND(" ",C212)),C212))</f>
        <v/>
      </c>
      <c r="F212">
        <f>IFERROR(VLOOKUP(E212,Categories!A:B,2,FALSE),"Other")</f>
        <v/>
      </c>
    </row>
    <row r="213">
      <c r="A213" s="2" t="n">
        <v>45788</v>
      </c>
      <c r="B213" t="inlineStr">
        <is>
          <t>T2025-05-114631</t>
        </is>
      </c>
      <c r="C213" t="inlineStr">
        <is>
          <t>V:CleanCorp B:55192837</t>
        </is>
      </c>
      <c r="D213" t="n">
        <v>3516.2</v>
      </c>
      <c r="E213">
        <f>TRIM(IFERROR(LEFT(C213,FIND(" ",C213)),C213))</f>
        <v/>
      </c>
      <c r="F213">
        <f>IFERROR(VLOOKUP(E213,Categories!A:B,2,FALSE),"Other")</f>
        <v/>
      </c>
    </row>
    <row r="214">
      <c r="A214" s="2" t="n">
        <v>45805</v>
      </c>
      <c r="B214" t="inlineStr">
        <is>
          <t>T2025-05-283665</t>
        </is>
      </c>
      <c r="C214" t="inlineStr">
        <is>
          <t>V:RepairPro B:66738291</t>
        </is>
      </c>
      <c r="D214" t="n">
        <v>4557.52</v>
      </c>
      <c r="E214">
        <f>TRIM(IFERROR(LEFT(C214,FIND(" ",C214)),C214))</f>
        <v/>
      </c>
      <c r="F214">
        <f>IFERROR(VLOOKUP(E214,Categories!A:B,2,FALSE),"Other")</f>
        <v/>
      </c>
    </row>
    <row r="215">
      <c r="A215" s="2" t="n">
        <v>45784</v>
      </c>
      <c r="B215" t="inlineStr">
        <is>
          <t>T2025-05-076420</t>
        </is>
      </c>
      <c r="C215" t="inlineStr">
        <is>
          <t>V:WaterWorks B:11827364</t>
        </is>
      </c>
      <c r="D215" t="n">
        <v>2437.43</v>
      </c>
      <c r="E215">
        <f>TRIM(IFERROR(LEFT(C215,FIND(" ",C215)),C215))</f>
        <v/>
      </c>
      <c r="F215">
        <f>IFERROR(VLOOKUP(E215,Categories!A:B,2,FALSE),"Other")</f>
        <v/>
      </c>
    </row>
    <row r="216">
      <c r="A216" s="2" t="n">
        <v>45793</v>
      </c>
      <c r="B216" t="inlineStr">
        <is>
          <t>T2025-05-165418</t>
        </is>
      </c>
      <c r="C216" t="inlineStr">
        <is>
          <t>Pay date 1/15</t>
        </is>
      </c>
      <c r="D216" t="n">
        <v>13652.46</v>
      </c>
      <c r="E216">
        <f>TRIM(IFERROR(LEFT(C216,FIND(" ",C216)),C216))</f>
        <v/>
      </c>
      <c r="F216">
        <f>IFERROR(VLOOKUP(E216,Categories!A:B,2,FALSE),"Other")</f>
        <v/>
      </c>
    </row>
    <row r="217">
      <c r="A217" s="2" t="n">
        <v>45791</v>
      </c>
      <c r="B217" t="inlineStr">
        <is>
          <t>T2025-05-147449</t>
        </is>
      </c>
      <c r="C217" t="inlineStr">
        <is>
          <t>Pay date 2/1</t>
        </is>
      </c>
      <c r="D217" t="n">
        <v>8555.27</v>
      </c>
      <c r="E217">
        <f>TRIM(IFERROR(LEFT(C217,FIND(" ",C217)),C217))</f>
        <v/>
      </c>
      <c r="F217">
        <f>IFERROR(VLOOKUP(E217,Categories!A:B,2,FALSE),"Other")</f>
        <v/>
      </c>
    </row>
    <row r="218">
      <c r="A218" s="2" t="n">
        <v>45805</v>
      </c>
      <c r="B218" t="inlineStr">
        <is>
          <t>T2025-05-286277</t>
        </is>
      </c>
      <c r="C218" t="inlineStr">
        <is>
          <t>V:WaterWorks B:11827364</t>
        </is>
      </c>
      <c r="D218" t="n">
        <v>4917.23</v>
      </c>
      <c r="E218">
        <f>TRIM(IFERROR(LEFT(C218,FIND(" ",C218)),C218))</f>
        <v/>
      </c>
      <c r="F218">
        <f>IFERROR(VLOOKUP(E218,Categories!A:B,2,FALSE),"Other")</f>
        <v/>
      </c>
    </row>
    <row r="219">
      <c r="A219" s="2" t="n">
        <v>45790</v>
      </c>
      <c r="B219" t="inlineStr">
        <is>
          <t>T2025-05-139689</t>
        </is>
      </c>
      <c r="C219" t="inlineStr">
        <is>
          <t>V:MarketingCo B:44738291</t>
        </is>
      </c>
      <c r="D219" t="n">
        <v>2840.81</v>
      </c>
      <c r="E219">
        <f>TRIM(IFERROR(LEFT(C219,FIND(" ",C219)),C219))</f>
        <v/>
      </c>
      <c r="F219">
        <f>IFERROR(VLOOKUP(E219,Categories!A:B,2,FALSE),"Other")</f>
        <v/>
      </c>
    </row>
    <row r="220">
      <c r="A220" s="2" t="n">
        <v>45782</v>
      </c>
      <c r="B220" t="inlineStr">
        <is>
          <t>T2025-05-053638</t>
        </is>
      </c>
      <c r="C220" t="inlineStr">
        <is>
          <t>V:CleanCorp B:55192837</t>
        </is>
      </c>
      <c r="D220" t="n">
        <v>3882.46</v>
      </c>
      <c r="E220">
        <f>TRIM(IFERROR(LEFT(C220,FIND(" ",C220)),C220))</f>
        <v/>
      </c>
      <c r="F220">
        <f>IFERROR(VLOOKUP(E220,Categories!A:B,2,FALSE),"Other")</f>
        <v/>
      </c>
    </row>
    <row r="221">
      <c r="A221" s="2" t="n">
        <v>45800</v>
      </c>
      <c r="B221" t="inlineStr">
        <is>
          <t>T2025-05-238276</t>
        </is>
      </c>
      <c r="C221" t="inlineStr">
        <is>
          <t>V:PowerGrid B:22918374</t>
        </is>
      </c>
      <c r="D221" t="n">
        <v>3960.22</v>
      </c>
      <c r="E221">
        <f>TRIM(IFERROR(LEFT(C221,FIND(" ",C221)),C221))</f>
        <v/>
      </c>
      <c r="F221">
        <f>IFERROR(VLOOKUP(E221,Categories!A:B,2,FALSE),"Other")</f>
        <v/>
      </c>
    </row>
    <row r="222">
      <c r="A222" s="2" t="n">
        <v>45828</v>
      </c>
      <c r="B222" t="inlineStr">
        <is>
          <t>T2025-06-205760</t>
        </is>
      </c>
      <c r="C222" t="inlineStr">
        <is>
          <t>V:RepairPro B:66738291</t>
        </is>
      </c>
      <c r="D222" t="n">
        <v>3056.62</v>
      </c>
      <c r="E222">
        <f>TRIM(IFERROR(LEFT(C222,FIND(" ",C222)),C222))</f>
        <v/>
      </c>
      <c r="F222">
        <f>IFERROR(VLOOKUP(E222,Categories!A:B,2,FALSE),"Other")</f>
        <v/>
      </c>
    </row>
    <row r="223">
      <c r="A223" s="2" t="n">
        <v>45814</v>
      </c>
      <c r="B223" t="inlineStr">
        <is>
          <t>T2025-06-067836</t>
        </is>
      </c>
      <c r="C223" t="inlineStr">
        <is>
          <t>V:OfficeMax B:88372619</t>
        </is>
      </c>
      <c r="D223" t="n">
        <v>1225.35</v>
      </c>
      <c r="E223">
        <f>TRIM(IFERROR(LEFT(C223,FIND(" ",C223)),C223))</f>
        <v/>
      </c>
      <c r="F223">
        <f>IFERROR(VLOOKUP(E223,Categories!A:B,2,FALSE),"Other")</f>
        <v/>
      </c>
    </row>
    <row r="224">
      <c r="A224" s="2" t="n">
        <v>45834</v>
      </c>
      <c r="B224" t="inlineStr">
        <is>
          <t>T2025-06-269973</t>
        </is>
      </c>
      <c r="C224" t="inlineStr">
        <is>
          <t>Pay date 2/1</t>
        </is>
      </c>
      <c r="D224" t="n">
        <v>12082.7</v>
      </c>
      <c r="E224">
        <f>TRIM(IFERROR(LEFT(C224,FIND(" ",C224)),C224))</f>
        <v/>
      </c>
      <c r="F224">
        <f>IFERROR(VLOOKUP(E224,Categories!A:B,2,FALSE),"Other")</f>
        <v/>
      </c>
    </row>
    <row r="225">
      <c r="A225" s="2" t="n">
        <v>45811</v>
      </c>
      <c r="B225" t="inlineStr">
        <is>
          <t>T2025-06-033209</t>
        </is>
      </c>
      <c r="C225" t="inlineStr">
        <is>
          <t>V:InsureCo B:99281734</t>
        </is>
      </c>
      <c r="D225" t="n">
        <v>2355.66</v>
      </c>
      <c r="E225">
        <f>TRIM(IFERROR(LEFT(C225,FIND(" ",C225)),C225))</f>
        <v/>
      </c>
      <c r="F225">
        <f>IFERROR(VLOOKUP(E225,Categories!A:B,2,FALSE),"Other")</f>
        <v/>
      </c>
    </row>
    <row r="226">
      <c r="A226" s="2" t="n">
        <v>45814</v>
      </c>
      <c r="B226" t="inlineStr">
        <is>
          <t>T2025-06-063102</t>
        </is>
      </c>
      <c r="C226" t="inlineStr">
        <is>
          <t>V:InsureCo B:99281734</t>
        </is>
      </c>
      <c r="D226" t="n">
        <v>3513.04</v>
      </c>
      <c r="E226">
        <f>TRIM(IFERROR(LEFT(C226,FIND(" ",C226)),C226))</f>
        <v/>
      </c>
      <c r="F226">
        <f>IFERROR(VLOOKUP(E226,Categories!A:B,2,FALSE),"Other")</f>
        <v/>
      </c>
    </row>
    <row r="227">
      <c r="A227" s="2" t="n">
        <v>45813</v>
      </c>
      <c r="B227" t="inlineStr">
        <is>
          <t>T2025-06-058441</t>
        </is>
      </c>
      <c r="C227" t="inlineStr">
        <is>
          <t>Pay date 2/15</t>
        </is>
      </c>
      <c r="D227" t="n">
        <v>9081.379999999999</v>
      </c>
      <c r="E227">
        <f>TRIM(IFERROR(LEFT(C227,FIND(" ",C227)),C227))</f>
        <v/>
      </c>
      <c r="F227">
        <f>IFERROR(VLOOKUP(E227,Categories!A:B,2,FALSE),"Other")</f>
        <v/>
      </c>
    </row>
    <row r="228">
      <c r="A228" s="2" t="n">
        <v>45817</v>
      </c>
      <c r="B228" t="inlineStr">
        <is>
          <t>T2025-06-094214</t>
        </is>
      </c>
      <c r="C228" t="inlineStr">
        <is>
          <t>V:MarketingCo B:44738291</t>
        </is>
      </c>
      <c r="D228" t="n">
        <v>1198.43</v>
      </c>
      <c r="E228">
        <f>TRIM(IFERROR(LEFT(C228,FIND(" ",C228)),C228))</f>
        <v/>
      </c>
      <c r="F228">
        <f>IFERROR(VLOOKUP(E228,Categories!A:B,2,FALSE),"Other")</f>
        <v/>
      </c>
    </row>
    <row r="229">
      <c r="A229" s="2" t="n">
        <v>45818</v>
      </c>
      <c r="B229" t="inlineStr">
        <is>
          <t>T2025-06-101805</t>
        </is>
      </c>
      <c r="C229" t="inlineStr">
        <is>
          <t>V:CleanCorp B:55192837</t>
        </is>
      </c>
      <c r="D229" t="n">
        <v>2961</v>
      </c>
      <c r="E229">
        <f>TRIM(IFERROR(LEFT(C229,FIND(" ",C229)),C229))</f>
        <v/>
      </c>
      <c r="F229">
        <f>IFERROR(VLOOKUP(E229,Categories!A:B,2,FALSE),"Other")</f>
        <v/>
      </c>
    </row>
    <row r="230">
      <c r="A230" s="2" t="n">
        <v>45833</v>
      </c>
      <c r="B230" t="inlineStr">
        <is>
          <t>T2025-06-254142</t>
        </is>
      </c>
      <c r="C230" t="inlineStr">
        <is>
          <t>V:RepairPro B:66738291</t>
        </is>
      </c>
      <c r="D230" t="n">
        <v>4650.83</v>
      </c>
      <c r="E230">
        <f>TRIM(IFERROR(LEFT(C230,FIND(" ",C230)),C230))</f>
        <v/>
      </c>
      <c r="F230">
        <f>IFERROR(VLOOKUP(E230,Categories!A:B,2,FALSE),"Other")</f>
        <v/>
      </c>
    </row>
    <row r="231">
      <c r="A231" s="2" t="n">
        <v>45828</v>
      </c>
      <c r="B231" t="inlineStr">
        <is>
          <t>T2025-06-203596</t>
        </is>
      </c>
      <c r="C231" t="inlineStr">
        <is>
          <t>V:WaterWorks B:11827364</t>
        </is>
      </c>
      <c r="D231" t="n">
        <v>177.46</v>
      </c>
      <c r="E231">
        <f>TRIM(IFERROR(LEFT(C231,FIND(" ",C231)),C231))</f>
        <v/>
      </c>
      <c r="F231">
        <f>IFERROR(VLOOKUP(E231,Categories!A:B,2,FALSE),"Other")</f>
        <v/>
      </c>
    </row>
    <row r="232">
      <c r="A232" s="2" t="n">
        <v>45833</v>
      </c>
      <c r="B232" t="inlineStr">
        <is>
          <t>T2025-06-253642</t>
        </is>
      </c>
      <c r="C232" t="inlineStr">
        <is>
          <t>V:InsureCo B:99281734</t>
        </is>
      </c>
      <c r="D232" t="n">
        <v>3132.12</v>
      </c>
      <c r="E232">
        <f>TRIM(IFERROR(LEFT(C232,FIND(" ",C232)),C232))</f>
        <v/>
      </c>
      <c r="F232">
        <f>IFERROR(VLOOKUP(E232,Categories!A:B,2,FALSE),"Other")</f>
        <v/>
      </c>
    </row>
    <row r="233">
      <c r="A233" s="2" t="n">
        <v>45819</v>
      </c>
      <c r="B233" t="inlineStr">
        <is>
          <t>T2025-06-111676</t>
        </is>
      </c>
      <c r="C233" t="inlineStr">
        <is>
          <t>V:Sysco B:44829103</t>
        </is>
      </c>
      <c r="D233" t="n">
        <v>547.8</v>
      </c>
      <c r="E233">
        <f>TRIM(IFERROR(LEFT(C233,FIND(" ",C233)),C233))</f>
        <v/>
      </c>
      <c r="F233">
        <f>IFERROR(VLOOKUP(E233,Categories!A:B,2,FALSE),"Other")</f>
        <v/>
      </c>
    </row>
    <row r="234">
      <c r="A234" s="2" t="n">
        <v>45820</v>
      </c>
      <c r="B234" t="inlineStr">
        <is>
          <t>T2025-06-128566</t>
        </is>
      </c>
      <c r="C234" t="inlineStr">
        <is>
          <t>V:CleanCorp B:55192837</t>
        </is>
      </c>
      <c r="D234" t="n">
        <v>463.67</v>
      </c>
      <c r="E234">
        <f>TRIM(IFERROR(LEFT(C234,FIND(" ",C234)),C234))</f>
        <v/>
      </c>
      <c r="F234">
        <f>IFERROR(VLOOKUP(E234,Categories!A:B,2,FALSE),"Other")</f>
        <v/>
      </c>
    </row>
    <row r="235">
      <c r="A235" s="2" t="n">
        <v>45822</v>
      </c>
      <c r="B235" t="inlineStr">
        <is>
          <t>T2025-06-149588</t>
        </is>
      </c>
      <c r="C235" t="inlineStr">
        <is>
          <t>V:PepsiCo B:33910284</t>
        </is>
      </c>
      <c r="D235" t="n">
        <v>517.79</v>
      </c>
      <c r="E235">
        <f>TRIM(IFERROR(LEFT(C235,FIND(" ",C235)),C235))</f>
        <v/>
      </c>
      <c r="F235">
        <f>IFERROR(VLOOKUP(E235,Categories!A:B,2,FALSE),"Other")</f>
        <v/>
      </c>
    </row>
    <row r="236">
      <c r="A236" s="2" t="n">
        <v>45810</v>
      </c>
      <c r="B236" t="inlineStr">
        <is>
          <t>T2025-06-022671</t>
        </is>
      </c>
      <c r="C236" t="inlineStr">
        <is>
          <t>V:MarketingCo B:44738291</t>
        </is>
      </c>
      <c r="D236" t="n">
        <v>3302.5</v>
      </c>
      <c r="E236">
        <f>TRIM(IFERROR(LEFT(C236,FIND(" ",C236)),C236))</f>
        <v/>
      </c>
      <c r="F236">
        <f>IFERROR(VLOOKUP(E236,Categories!A:B,2,FALSE),"Other")</f>
        <v/>
      </c>
    </row>
    <row r="237">
      <c r="A237" s="2" t="n">
        <v>45822</v>
      </c>
      <c r="B237" t="inlineStr">
        <is>
          <t>T2025-06-146027</t>
        </is>
      </c>
      <c r="C237" t="inlineStr">
        <is>
          <t>V:PepsiCo B:33910284</t>
        </is>
      </c>
      <c r="D237" t="n">
        <v>1225.69</v>
      </c>
      <c r="E237">
        <f>TRIM(IFERROR(LEFT(C237,FIND(" ",C237)),C237))</f>
        <v/>
      </c>
      <c r="F237">
        <f>IFERROR(VLOOKUP(E237,Categories!A:B,2,FALSE),"Other")</f>
        <v/>
      </c>
    </row>
    <row r="238">
      <c r="A238" s="2" t="n">
        <v>45814</v>
      </c>
      <c r="B238" t="inlineStr">
        <is>
          <t>T2025-06-067042</t>
        </is>
      </c>
      <c r="C238" t="inlineStr">
        <is>
          <t>V:WaterWorks B:11827364</t>
        </is>
      </c>
      <c r="D238" t="n">
        <v>3835.93</v>
      </c>
      <c r="E238">
        <f>TRIM(IFERROR(LEFT(C238,FIND(" ",C238)),C238))</f>
        <v/>
      </c>
      <c r="F238">
        <f>IFERROR(VLOOKUP(E238,Categories!A:B,2,FALSE),"Other")</f>
        <v/>
      </c>
    </row>
    <row r="239">
      <c r="A239" s="2" t="n">
        <v>45832</v>
      </c>
      <c r="B239" t="inlineStr">
        <is>
          <t>T2025-06-248987</t>
        </is>
      </c>
      <c r="C239" t="inlineStr">
        <is>
          <t>V:PowerGrid B:22918374</t>
        </is>
      </c>
      <c r="D239" t="n">
        <v>4787.56</v>
      </c>
      <c r="E239">
        <f>TRIM(IFERROR(LEFT(C239,FIND(" ",C239)),C239))</f>
        <v/>
      </c>
      <c r="F239">
        <f>IFERROR(VLOOKUP(E239,Categories!A:B,2,FALSE),"Other")</f>
        <v/>
      </c>
    </row>
    <row r="240">
      <c r="A240" s="2" t="n">
        <v>45818</v>
      </c>
      <c r="B240" t="inlineStr">
        <is>
          <t>T2025-06-103616</t>
        </is>
      </c>
      <c r="C240" t="inlineStr">
        <is>
          <t>V:PowerGrid B:22918374</t>
        </is>
      </c>
      <c r="D240" t="n">
        <v>2187.77</v>
      </c>
      <c r="E240">
        <f>TRIM(IFERROR(LEFT(C240,FIND(" ",C240)),C240))</f>
        <v/>
      </c>
      <c r="F240">
        <f>IFERROR(VLOOKUP(E240,Categories!A:B,2,FALSE),"Other")</f>
        <v/>
      </c>
    </row>
    <row r="241">
      <c r="A241" s="2" t="n">
        <v>45827</v>
      </c>
      <c r="B241" t="inlineStr">
        <is>
          <t>T2025-06-195904</t>
        </is>
      </c>
      <c r="C241" t="inlineStr">
        <is>
          <t>V:PepsiCo B:33910284</t>
        </is>
      </c>
      <c r="D241" t="n">
        <v>1002.58</v>
      </c>
      <c r="E241">
        <f>TRIM(IFERROR(LEFT(C241,FIND(" ",C241)),C241))</f>
        <v/>
      </c>
      <c r="F241">
        <f>IFERROR(VLOOKUP(E241,Categories!A:B,2,FALSE),"Other")</f>
        <v/>
      </c>
    </row>
    <row r="242">
      <c r="A242" s="2" t="n">
        <v>45832</v>
      </c>
      <c r="B242" t="inlineStr">
        <is>
          <t>T2025-06-244233</t>
        </is>
      </c>
      <c r="C242" t="inlineStr">
        <is>
          <t>Pay date 1/15</t>
        </is>
      </c>
      <c r="D242" t="n">
        <v>11540.39</v>
      </c>
      <c r="E242">
        <f>TRIM(IFERROR(LEFT(C242,FIND(" ",C242)),C242))</f>
        <v/>
      </c>
      <c r="F242">
        <f>IFERROR(VLOOKUP(E242,Categories!A:B,2,FALSE),"Other")</f>
        <v/>
      </c>
    </row>
    <row r="243">
      <c r="A243" s="2" t="n">
        <v>45814</v>
      </c>
      <c r="B243" t="inlineStr">
        <is>
          <t>T2025-06-069169</t>
        </is>
      </c>
      <c r="C243" t="inlineStr">
        <is>
          <t>V:OfficeMax B:88372619</t>
        </is>
      </c>
      <c r="D243" t="n">
        <v>884.9</v>
      </c>
      <c r="E243">
        <f>TRIM(IFERROR(LEFT(C243,FIND(" ",C243)),C243))</f>
        <v/>
      </c>
      <c r="F243">
        <f>IFERROR(VLOOKUP(E243,Categories!A:B,2,FALSE),"Other")</f>
        <v/>
      </c>
    </row>
    <row r="244">
      <c r="A244" s="2" t="n">
        <v>45832</v>
      </c>
      <c r="B244" t="inlineStr">
        <is>
          <t>T2025-06-243903</t>
        </is>
      </c>
      <c r="C244" t="inlineStr">
        <is>
          <t>V:USFoods B:77281934</t>
        </is>
      </c>
      <c r="D244" t="n">
        <v>517.51</v>
      </c>
      <c r="E244">
        <f>TRIM(IFERROR(LEFT(C244,FIND(" ",C244)),C244))</f>
        <v/>
      </c>
      <c r="F244">
        <f>IFERROR(VLOOKUP(E244,Categories!A:B,2,FALSE),"Other")</f>
        <v/>
      </c>
    </row>
    <row r="245">
      <c r="A245" s="2" t="n">
        <v>45831</v>
      </c>
      <c r="B245" t="inlineStr">
        <is>
          <t>T2025-06-237638</t>
        </is>
      </c>
      <c r="C245" t="inlineStr">
        <is>
          <t>V:Sysco B:44829103</t>
        </is>
      </c>
      <c r="D245" t="n">
        <v>2519.3</v>
      </c>
      <c r="E245">
        <f>TRIM(IFERROR(LEFT(C245,FIND(" ",C245)),C245))</f>
        <v/>
      </c>
      <c r="F245">
        <f>IFERROR(VLOOKUP(E245,Categories!A:B,2,FALSE),"Other")</f>
        <v/>
      </c>
    </row>
    <row r="246">
      <c r="A246" s="2" t="n">
        <v>45816</v>
      </c>
      <c r="B246" t="inlineStr">
        <is>
          <t>T2025-06-084796</t>
        </is>
      </c>
      <c r="C246" t="inlineStr">
        <is>
          <t>V:OfficeMax B:88372619</t>
        </is>
      </c>
      <c r="D246" t="n">
        <v>3206.65</v>
      </c>
      <c r="E246">
        <f>TRIM(IFERROR(LEFT(C246,FIND(" ",C246)),C246))</f>
        <v/>
      </c>
      <c r="F246">
        <f>IFERROR(VLOOKUP(E246,Categories!A:B,2,FALSE),"Other")</f>
        <v/>
      </c>
    </row>
    <row r="247">
      <c r="A247" s="2" t="n">
        <v>45834</v>
      </c>
      <c r="B247" t="inlineStr">
        <is>
          <t>T2025-06-262277</t>
        </is>
      </c>
      <c r="C247" t="inlineStr">
        <is>
          <t>V:MarketingCo B:44738291</t>
        </is>
      </c>
      <c r="D247" t="n">
        <v>2187.42</v>
      </c>
      <c r="E247">
        <f>TRIM(IFERROR(LEFT(C247,FIND(" ",C247)),C247))</f>
        <v/>
      </c>
      <c r="F247">
        <f>IFERROR(VLOOKUP(E247,Categories!A:B,2,FALSE),"Other")</f>
        <v/>
      </c>
    </row>
    <row r="248">
      <c r="A248" s="2" t="n">
        <v>45834</v>
      </c>
      <c r="B248" t="inlineStr">
        <is>
          <t>T2025-06-265867</t>
        </is>
      </c>
      <c r="C248" t="inlineStr">
        <is>
          <t>V:RepairPro B:66738291</t>
        </is>
      </c>
      <c r="D248" t="n">
        <v>1294.92</v>
      </c>
      <c r="E248">
        <f>TRIM(IFERROR(LEFT(C248,FIND(" ",C248)),C248))</f>
        <v/>
      </c>
      <c r="F248">
        <f>IFERROR(VLOOKUP(E248,Categories!A:B,2,FALSE),"Other")</f>
        <v/>
      </c>
    </row>
    <row r="249">
      <c r="A249" s="2" t="n">
        <v>45817</v>
      </c>
      <c r="B249" t="inlineStr">
        <is>
          <t>T2025-06-094347</t>
        </is>
      </c>
      <c r="C249" t="inlineStr">
        <is>
          <t>V:CleanCorp B:55192837</t>
        </is>
      </c>
      <c r="D249" t="n">
        <v>4828.55</v>
      </c>
      <c r="E249">
        <f>TRIM(IFERROR(LEFT(C249,FIND(" ",C249)),C249))</f>
        <v/>
      </c>
      <c r="F249">
        <f>IFERROR(VLOOKUP(E249,Categories!A:B,2,FALSE),"Other")</f>
        <v/>
      </c>
    </row>
    <row r="250">
      <c r="A250" s="2" t="n">
        <v>45815</v>
      </c>
      <c r="B250" t="inlineStr">
        <is>
          <t>T2025-06-072483</t>
        </is>
      </c>
      <c r="C250" t="inlineStr">
        <is>
          <t>V:Sysco B:44829103</t>
        </is>
      </c>
      <c r="D250" t="n">
        <v>3317.84</v>
      </c>
      <c r="E250">
        <f>TRIM(IFERROR(LEFT(C250,FIND(" ",C250)),C250))</f>
        <v/>
      </c>
      <c r="F250">
        <f>IFERROR(VLOOKUP(E250,Categories!A:B,2,FALSE),"Other")</f>
        <v/>
      </c>
    </row>
    <row r="251">
      <c r="A251" s="2" t="n">
        <v>45822</v>
      </c>
      <c r="B251" t="inlineStr">
        <is>
          <t>T2025-06-148999</t>
        </is>
      </c>
      <c r="C251" t="inlineStr">
        <is>
          <t>V:OfficeMax B:88372619</t>
        </is>
      </c>
      <c r="D251" t="n">
        <v>1547.34</v>
      </c>
      <c r="E251">
        <f>TRIM(IFERROR(LEFT(C251,FIND(" ",C251)),C251))</f>
        <v/>
      </c>
      <c r="F251">
        <f>IFERROR(VLOOKUP(E251,Categories!A:B,2,FALSE),"Other")</f>
        <v/>
      </c>
    </row>
    <row r="252">
      <c r="A252" s="2" t="n">
        <v>45811</v>
      </c>
      <c r="B252" t="inlineStr">
        <is>
          <t>T2025-06-039269</t>
        </is>
      </c>
      <c r="C252" t="inlineStr">
        <is>
          <t>V:PepsiCo B:33910284</t>
        </is>
      </c>
      <c r="D252" t="n">
        <v>2351.33</v>
      </c>
      <c r="E252">
        <f>TRIM(IFERROR(LEFT(C252,FIND(" ",C252)),C252))</f>
        <v/>
      </c>
      <c r="F252">
        <f>IFERROR(VLOOKUP(E252,Categories!A:B,2,FALSE),"Other")</f>
        <v/>
      </c>
    </row>
    <row r="253">
      <c r="A253" s="2" t="n">
        <v>45811</v>
      </c>
      <c r="B253" t="inlineStr">
        <is>
          <t>T2025-06-032570</t>
        </is>
      </c>
      <c r="C253" t="inlineStr">
        <is>
          <t>V:PowerGrid B:22918374</t>
        </is>
      </c>
      <c r="D253" t="n">
        <v>2745.47</v>
      </c>
      <c r="E253">
        <f>TRIM(IFERROR(LEFT(C253,FIND(" ",C253)),C253))</f>
        <v/>
      </c>
      <c r="F253">
        <f>IFERROR(VLOOKUP(E253,Categories!A:B,2,FALSE),"Other")</f>
        <v/>
      </c>
    </row>
    <row r="254">
      <c r="A254" s="2" t="n">
        <v>45833</v>
      </c>
      <c r="B254" t="inlineStr">
        <is>
          <t>T2025-06-253317</t>
        </is>
      </c>
      <c r="C254" t="inlineStr">
        <is>
          <t>V:WaterWorks B:11827364</t>
        </is>
      </c>
      <c r="D254" t="n">
        <v>3203.69</v>
      </c>
      <c r="E254">
        <f>TRIM(IFERROR(LEFT(C254,FIND(" ",C254)),C254))</f>
        <v/>
      </c>
      <c r="F254">
        <f>IFERROR(VLOOKUP(E254,Categories!A:B,2,FALSE),"Other")</f>
        <v/>
      </c>
    </row>
    <row r="255">
      <c r="A255" s="2" t="n">
        <v>45817</v>
      </c>
      <c r="B255" t="inlineStr">
        <is>
          <t>T2025-06-098663</t>
        </is>
      </c>
      <c r="C255" t="inlineStr">
        <is>
          <t>V:InsureCo B:99281734</t>
        </is>
      </c>
      <c r="D255" t="n">
        <v>679.89</v>
      </c>
      <c r="E255">
        <f>TRIM(IFERROR(LEFT(C255,FIND(" ",C255)),C255))</f>
        <v/>
      </c>
      <c r="F255">
        <f>IFERROR(VLOOKUP(E255,Categories!A:B,2,FALSE),"Other")</f>
        <v/>
      </c>
    </row>
    <row r="256">
      <c r="A256" s="2" t="n">
        <v>45836</v>
      </c>
      <c r="B256" t="inlineStr">
        <is>
          <t>T2025-06-289111</t>
        </is>
      </c>
      <c r="C256" t="inlineStr">
        <is>
          <t>V:RepairPro B:66738291</t>
        </is>
      </c>
      <c r="D256" t="n">
        <v>625.96</v>
      </c>
      <c r="E256">
        <f>TRIM(IFERROR(LEFT(C256,FIND(" ",C256)),C256))</f>
        <v/>
      </c>
      <c r="F256">
        <f>IFERROR(VLOOKUP(E256,Categories!A:B,2,FALSE),"Other")</f>
        <v/>
      </c>
    </row>
    <row r="257">
      <c r="A257" s="2" t="n">
        <v>45824</v>
      </c>
      <c r="B257" t="inlineStr">
        <is>
          <t>T2025-06-163038</t>
        </is>
      </c>
      <c r="C257" t="inlineStr">
        <is>
          <t>V:InsureCo B:99281734</t>
        </is>
      </c>
      <c r="D257" t="n">
        <v>1895.1</v>
      </c>
      <c r="E257">
        <f>TRIM(IFERROR(LEFT(C257,FIND(" ",C257)),C257))</f>
        <v/>
      </c>
      <c r="F257">
        <f>IFERROR(VLOOKUP(E257,Categories!A:B,2,FALSE),"Other")</f>
        <v/>
      </c>
    </row>
    <row r="258">
      <c r="A258" s="2" t="n">
        <v>45816</v>
      </c>
      <c r="B258" t="inlineStr">
        <is>
          <t>T2025-06-085169</t>
        </is>
      </c>
      <c r="C258" t="inlineStr">
        <is>
          <t>V:InsureCo B:99281734</t>
        </is>
      </c>
      <c r="D258" t="n">
        <v>4802</v>
      </c>
      <c r="E258">
        <f>TRIM(IFERROR(LEFT(C258,FIND(" ",C258)),C258))</f>
        <v/>
      </c>
      <c r="F258">
        <f>IFERROR(VLOOKUP(E258,Categories!A:B,2,FALSE),"Other")</f>
        <v/>
      </c>
    </row>
    <row r="259">
      <c r="A259" s="2" t="n">
        <v>45817</v>
      </c>
      <c r="B259" t="inlineStr">
        <is>
          <t>T2025-06-092695</t>
        </is>
      </c>
      <c r="C259" t="inlineStr">
        <is>
          <t>V:MarketingCo B:44738291</t>
        </is>
      </c>
      <c r="D259" t="n">
        <v>2658.9</v>
      </c>
      <c r="E259">
        <f>TRIM(IFERROR(LEFT(C259,FIND(" ",C259)),C259))</f>
        <v/>
      </c>
      <c r="F259">
        <f>IFERROR(VLOOKUP(E259,Categories!A:B,2,FALSE),"Other")</f>
        <v/>
      </c>
    </row>
    <row r="260">
      <c r="A260" s="2" t="n">
        <v>45809</v>
      </c>
      <c r="B260" t="inlineStr">
        <is>
          <t>T2025-06-018376</t>
        </is>
      </c>
      <c r="C260" t="inlineStr">
        <is>
          <t>Pay date 1/15</t>
        </is>
      </c>
      <c r="D260" t="n">
        <v>10619.31</v>
      </c>
      <c r="E260">
        <f>TRIM(IFERROR(LEFT(C260,FIND(" ",C260)),C260))</f>
        <v/>
      </c>
      <c r="F260">
        <f>IFERROR(VLOOKUP(E260,Categories!A:B,2,FALSE),"Other")</f>
        <v/>
      </c>
    </row>
    <row r="261">
      <c r="A261" s="2" t="n">
        <v>45823</v>
      </c>
      <c r="B261" t="inlineStr">
        <is>
          <t>T2025-06-154936</t>
        </is>
      </c>
      <c r="C261" t="inlineStr">
        <is>
          <t>V:PowerGrid B:22918374</t>
        </is>
      </c>
      <c r="D261" t="n">
        <v>795.38</v>
      </c>
      <c r="E261">
        <f>TRIM(IFERROR(LEFT(C261,FIND(" ",C261)),C261))</f>
        <v/>
      </c>
      <c r="F261">
        <f>IFERROR(VLOOKUP(E261,Categories!A:B,2,FALSE),"Other")</f>
        <v/>
      </c>
    </row>
    <row r="262">
      <c r="A262" s="2" t="n">
        <v>45814</v>
      </c>
      <c r="B262" t="inlineStr">
        <is>
          <t>T2025-06-068423</t>
        </is>
      </c>
      <c r="C262" t="inlineStr">
        <is>
          <t>Pay date 1/15</t>
        </is>
      </c>
      <c r="D262" t="n">
        <v>9448.91</v>
      </c>
      <c r="E262">
        <f>TRIM(IFERROR(LEFT(C262,FIND(" ",C262)),C262))</f>
        <v/>
      </c>
      <c r="F262">
        <f>IFERROR(VLOOKUP(E262,Categories!A:B,2,FALSE),"Other")</f>
        <v/>
      </c>
    </row>
    <row r="263">
      <c r="A263" s="2" t="n">
        <v>45833</v>
      </c>
      <c r="B263" t="inlineStr">
        <is>
          <t>T2025-06-259985</t>
        </is>
      </c>
      <c r="C263" t="inlineStr">
        <is>
          <t>V:PepsiCo B:33910284</t>
        </is>
      </c>
      <c r="D263" t="n">
        <v>4089.22</v>
      </c>
      <c r="E263">
        <f>TRIM(IFERROR(LEFT(C263,FIND(" ",C263)),C263))</f>
        <v/>
      </c>
      <c r="F263">
        <f>IFERROR(VLOOKUP(E263,Categories!A:B,2,FALSE),"Other")</f>
        <v/>
      </c>
    </row>
    <row r="264">
      <c r="A264" s="2" t="n">
        <v>45816</v>
      </c>
      <c r="B264" t="inlineStr">
        <is>
          <t>T2025-06-083637</t>
        </is>
      </c>
      <c r="C264" t="inlineStr">
        <is>
          <t>Pay date 2/1</t>
        </is>
      </c>
      <c r="D264" t="n">
        <v>10603.31</v>
      </c>
      <c r="E264">
        <f>TRIM(IFERROR(LEFT(C264,FIND(" ",C264)),C264))</f>
        <v/>
      </c>
      <c r="F264">
        <f>IFERROR(VLOOKUP(E264,Categories!A:B,2,FALSE),"Other")</f>
        <v/>
      </c>
    </row>
    <row r="265">
      <c r="A265" s="2" t="n">
        <v>45817</v>
      </c>
      <c r="B265" t="inlineStr">
        <is>
          <t>T2025-06-097479</t>
        </is>
      </c>
      <c r="C265" t="inlineStr">
        <is>
          <t>V:MarketingCo B:44738291</t>
        </is>
      </c>
      <c r="D265" t="n">
        <v>1862.87</v>
      </c>
      <c r="E265">
        <f>TRIM(IFERROR(LEFT(C265,FIND(" ",C265)),C265))</f>
        <v/>
      </c>
      <c r="F265">
        <f>IFERROR(VLOOKUP(E265,Categories!A:B,2,FALSE),"Other")</f>
        <v/>
      </c>
    </row>
    <row r="266">
      <c r="A266" s="2" t="n">
        <v>45826</v>
      </c>
      <c r="B266" t="inlineStr">
        <is>
          <t>T2025-06-184784</t>
        </is>
      </c>
      <c r="C266" t="inlineStr">
        <is>
          <t>Pay date 2/1</t>
        </is>
      </c>
      <c r="D266" t="n">
        <v>12566.15</v>
      </c>
      <c r="E266">
        <f>TRIM(IFERROR(LEFT(C266,FIND(" ",C266)),C266))</f>
        <v/>
      </c>
      <c r="F266">
        <f>IFERROR(VLOOKUP(E266,Categories!A:B,2,FALSE),"Other")</f>
        <v/>
      </c>
    </row>
    <row r="267">
      <c r="A267" s="2" t="n">
        <v>45824</v>
      </c>
      <c r="B267" t="inlineStr">
        <is>
          <t>T2025-06-164761</t>
        </is>
      </c>
      <c r="C267" t="inlineStr">
        <is>
          <t>V:CleanCorp B:55192837</t>
        </is>
      </c>
      <c r="D267" t="n">
        <v>3385.74</v>
      </c>
      <c r="E267">
        <f>TRIM(IFERROR(LEFT(C267,FIND(" ",C267)),C267))</f>
        <v/>
      </c>
      <c r="F267">
        <f>IFERROR(VLOOKUP(E267,Categories!A:B,2,FALSE),"Other")</f>
        <v/>
      </c>
    </row>
    <row r="268">
      <c r="A268" s="2" t="n">
        <v>45813</v>
      </c>
      <c r="B268" t="inlineStr">
        <is>
          <t>T2025-06-056248</t>
        </is>
      </c>
      <c r="C268" t="inlineStr">
        <is>
          <t>V:MarketingCo B:44738291</t>
        </is>
      </c>
      <c r="D268" t="n">
        <v>1752.25</v>
      </c>
      <c r="E268">
        <f>TRIM(IFERROR(LEFT(C268,FIND(" ",C268)),C268))</f>
        <v/>
      </c>
      <c r="F268">
        <f>IFERROR(VLOOKUP(E268,Categories!A:B,2,FALSE),"Other")</f>
        <v/>
      </c>
    </row>
    <row r="269">
      <c r="A269" s="2" t="n">
        <v>45831</v>
      </c>
      <c r="B269" t="inlineStr">
        <is>
          <t>T2025-06-236517</t>
        </is>
      </c>
      <c r="C269" t="inlineStr">
        <is>
          <t>V:Sysco B:44829103</t>
        </is>
      </c>
      <c r="D269" t="n">
        <v>3280.33</v>
      </c>
      <c r="E269">
        <f>TRIM(IFERROR(LEFT(C269,FIND(" ",C269)),C269))</f>
        <v/>
      </c>
      <c r="F269">
        <f>IFERROR(VLOOKUP(E269,Categories!A:B,2,FALSE),"Other")</f>
        <v/>
      </c>
    </row>
    <row r="270">
      <c r="A270" s="2" t="n">
        <v>45823</v>
      </c>
      <c r="B270" t="inlineStr">
        <is>
          <t>T2025-06-153183</t>
        </is>
      </c>
      <c r="C270" t="inlineStr">
        <is>
          <t>Pay date 1/15</t>
        </is>
      </c>
      <c r="D270" t="n">
        <v>8159.97</v>
      </c>
      <c r="E270">
        <f>TRIM(IFERROR(LEFT(C270,FIND(" ",C270)),C270))</f>
        <v/>
      </c>
      <c r="F270">
        <f>IFERROR(VLOOKUP(E270,Categories!A:B,2,FALSE),"Other")</f>
        <v/>
      </c>
    </row>
    <row r="271">
      <c r="A271" s="2" t="n">
        <v>45834</v>
      </c>
      <c r="B271" t="inlineStr">
        <is>
          <t>T2025-06-263986</t>
        </is>
      </c>
      <c r="C271" t="inlineStr">
        <is>
          <t>V:RepairPro B:66738291</t>
        </is>
      </c>
      <c r="D271" t="n">
        <v>952.59</v>
      </c>
      <c r="E271">
        <f>TRIM(IFERROR(LEFT(C271,FIND(" ",C271)),C271))</f>
        <v/>
      </c>
      <c r="F271">
        <f>IFERROR(VLOOKUP(E271,Categories!A:B,2,FALSE),"Other")</f>
        <v/>
      </c>
    </row>
    <row r="272">
      <c r="A272" s="2" t="n">
        <v>45830</v>
      </c>
      <c r="B272" t="inlineStr">
        <is>
          <t>T2025-06-229694</t>
        </is>
      </c>
      <c r="C272" t="inlineStr">
        <is>
          <t>Pay date 2/15</t>
        </is>
      </c>
      <c r="D272" t="n">
        <v>9114.35</v>
      </c>
      <c r="E272">
        <f>TRIM(IFERROR(LEFT(C272,FIND(" ",C272)),C272))</f>
        <v/>
      </c>
      <c r="F272">
        <f>IFERROR(VLOOKUP(E272,Categories!A:B,2,FALSE),"Other")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Prefix</t>
        </is>
      </c>
      <c r="B1" s="1" t="inlineStr">
        <is>
          <t>Category</t>
        </is>
      </c>
    </row>
    <row r="2">
      <c r="A2" t="inlineStr">
        <is>
          <t>V:Sysco</t>
        </is>
      </c>
      <c r="B2" t="inlineStr">
        <is>
          <t>Food Cost</t>
        </is>
      </c>
    </row>
    <row r="3">
      <c r="A3" t="inlineStr">
        <is>
          <t>V:USFoods</t>
        </is>
      </c>
      <c r="B3" t="inlineStr">
        <is>
          <t>Food Cost</t>
        </is>
      </c>
    </row>
    <row r="4">
      <c r="A4" t="inlineStr">
        <is>
          <t>V:PepsiCo</t>
        </is>
      </c>
      <c r="B4" t="inlineStr">
        <is>
          <t>Beverage Cost</t>
        </is>
      </c>
    </row>
    <row r="5">
      <c r="A5" t="inlineStr">
        <is>
          <t>V:CleanCorp</t>
        </is>
      </c>
      <c r="B5" t="inlineStr">
        <is>
          <t>Cleaning</t>
        </is>
      </c>
    </row>
    <row r="6">
      <c r="A6" t="inlineStr">
        <is>
          <t>V:RepairPro</t>
        </is>
      </c>
      <c r="B6" t="inlineStr">
        <is>
          <t>Repairs</t>
        </is>
      </c>
    </row>
    <row r="7">
      <c r="A7" t="inlineStr">
        <is>
          <t>V:InsureCo</t>
        </is>
      </c>
      <c r="B7" t="inlineStr">
        <is>
          <t>Insurance</t>
        </is>
      </c>
    </row>
    <row r="8">
      <c r="A8" t="inlineStr">
        <is>
          <t>V:PowerGrid</t>
        </is>
      </c>
      <c r="B8" t="inlineStr">
        <is>
          <t>Utilities</t>
        </is>
      </c>
    </row>
    <row r="9">
      <c r="A9" t="inlineStr">
        <is>
          <t>V:WaterWorks</t>
        </is>
      </c>
      <c r="B9" t="inlineStr">
        <is>
          <t>Utilities</t>
        </is>
      </c>
    </row>
    <row r="10">
      <c r="A10" t="inlineStr">
        <is>
          <t>V:OfficeMax</t>
        </is>
      </c>
      <c r="B10" t="inlineStr">
        <is>
          <t>Office Supplies</t>
        </is>
      </c>
    </row>
    <row r="11">
      <c r="A11" t="inlineStr">
        <is>
          <t>V:MarketingCo</t>
        </is>
      </c>
      <c r="B11" t="inlineStr">
        <is>
          <t>Marketing</t>
        </is>
      </c>
    </row>
    <row r="12">
      <c r="A12" t="inlineStr">
        <is>
          <t>Pay date</t>
        </is>
      </c>
      <c r="B12" t="inlineStr">
        <is>
          <t>Payroll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Monthly Expense Summary</t>
        </is>
      </c>
    </row>
    <row r="3">
      <c r="A3" t="inlineStr">
        <is>
          <t>Category</t>
        </is>
      </c>
      <c r="B3" s="4" t="n">
        <v>45658</v>
      </c>
      <c r="C3" s="4" t="n">
        <v>45689</v>
      </c>
      <c r="D3" s="4" t="n">
        <v>45717</v>
      </c>
      <c r="E3" s="4" t="n">
        <v>45748</v>
      </c>
      <c r="F3" s="4" t="n">
        <v>45778</v>
      </c>
      <c r="G3" s="4" t="n">
        <v>45809</v>
      </c>
    </row>
    <row r="4">
      <c r="A4" t="inlineStr">
        <is>
          <t>Beverage Cost</t>
        </is>
      </c>
      <c r="B4">
        <f>SUMPRODUCT(Transactions!$D$6:$D$272,(Transactions!$F$6:$F$272=A4),(Transactions!$A$6:$A$272&gt;=01/01/2025),(Transactions!$A$6:$A$272&lt;02/01/2025))</f>
        <v/>
      </c>
      <c r="C4">
        <f>SUMPRODUCT(Transactions!$D$6:$D$272,(Transactions!$F$6:$F$272=A4),(Transactions!$A$6:$A$272&gt;=02/01/2025),(Transactions!$A$6:$A$272&lt;03/01/2025))</f>
        <v/>
      </c>
      <c r="D4">
        <f>SUMPRODUCT(Transactions!$D$6:$D$272,(Transactions!$F$6:$F$272=A4),(Transactions!$A$6:$A$272&gt;=03/01/2025),(Transactions!$A$6:$A$272&lt;04/01/2025))</f>
        <v/>
      </c>
      <c r="E4">
        <f>SUMPRODUCT(Transactions!$D$6:$D$272,(Transactions!$F$6:$F$272=A4),(Transactions!$A$6:$A$272&gt;=04/01/2025),(Transactions!$A$6:$A$272&lt;05/01/2025))</f>
        <v/>
      </c>
      <c r="F4">
        <f>SUMPRODUCT(Transactions!$D$6:$D$272,(Transactions!$F$6:$F$272=A4),(Transactions!$A$6:$A$272&gt;=05/01/2025),(Transactions!$A$6:$A$272&lt;06/01/2025))</f>
        <v/>
      </c>
      <c r="G4">
        <f>SUMPRODUCT(Transactions!$D$6:$D$272,(Transactions!$F$6:$F$272=A4),(Transactions!$A$6:$A$272&gt;=06/01/2025),(Transactions!$A$6:$A$272&lt;07/01/2025))</f>
        <v/>
      </c>
    </row>
    <row r="5">
      <c r="A5" t="inlineStr">
        <is>
          <t>Cleaning</t>
        </is>
      </c>
      <c r="B5">
        <f>SUMPRODUCT(Transactions!$D$6:$D$272,(Transactions!$F$6:$F$272=A5),(Transactions!$A$6:$A$272&gt;=01/01/2025),(Transactions!$A$6:$A$272&lt;02/01/2025))</f>
        <v/>
      </c>
      <c r="C5">
        <f>SUMPRODUCT(Transactions!$D$6:$D$272,(Transactions!$F$6:$F$272=A5),(Transactions!$A$6:$A$272&gt;=02/01/2025),(Transactions!$A$6:$A$272&lt;03/01/2025))</f>
        <v/>
      </c>
      <c r="D5">
        <f>SUMPRODUCT(Transactions!$D$6:$D$272,(Transactions!$F$6:$F$272=A5),(Transactions!$A$6:$A$272&gt;=03/01/2025),(Transactions!$A$6:$A$272&lt;04/01/2025))</f>
        <v/>
      </c>
      <c r="E5">
        <f>SUMPRODUCT(Transactions!$D$6:$D$272,(Transactions!$F$6:$F$272=A5),(Transactions!$A$6:$A$272&gt;=04/01/2025),(Transactions!$A$6:$A$272&lt;05/01/2025))</f>
        <v/>
      </c>
      <c r="F5">
        <f>SUMPRODUCT(Transactions!$D$6:$D$272,(Transactions!$F$6:$F$272=A5),(Transactions!$A$6:$A$272&gt;=05/01/2025),(Transactions!$A$6:$A$272&lt;06/01/2025))</f>
        <v/>
      </c>
      <c r="G5">
        <f>SUMPRODUCT(Transactions!$D$6:$D$272,(Transactions!$F$6:$F$272=A5),(Transactions!$A$6:$A$272&gt;=06/01/2025),(Transactions!$A$6:$A$272&lt;07/01/2025))</f>
        <v/>
      </c>
    </row>
    <row r="6">
      <c r="A6" t="inlineStr">
        <is>
          <t>Food Cost</t>
        </is>
      </c>
      <c r="B6">
        <f>SUMPRODUCT(Transactions!$D$6:$D$272,(Transactions!$F$6:$F$272=A6),(Transactions!$A$6:$A$272&gt;=01/01/2025),(Transactions!$A$6:$A$272&lt;02/01/2025))</f>
        <v/>
      </c>
      <c r="C6">
        <f>SUMPRODUCT(Transactions!$D$6:$D$272,(Transactions!$F$6:$F$272=A6),(Transactions!$A$6:$A$272&gt;=02/01/2025),(Transactions!$A$6:$A$272&lt;03/01/2025))</f>
        <v/>
      </c>
      <c r="D6">
        <f>SUMPRODUCT(Transactions!$D$6:$D$272,(Transactions!$F$6:$F$272=A6),(Transactions!$A$6:$A$272&gt;=03/01/2025),(Transactions!$A$6:$A$272&lt;04/01/2025))</f>
        <v/>
      </c>
      <c r="E6">
        <f>SUMPRODUCT(Transactions!$D$6:$D$272,(Transactions!$F$6:$F$272=A6),(Transactions!$A$6:$A$272&gt;=04/01/2025),(Transactions!$A$6:$A$272&lt;05/01/2025))</f>
        <v/>
      </c>
      <c r="F6">
        <f>SUMPRODUCT(Transactions!$D$6:$D$272,(Transactions!$F$6:$F$272=A6),(Transactions!$A$6:$A$272&gt;=05/01/2025),(Transactions!$A$6:$A$272&lt;06/01/2025))</f>
        <v/>
      </c>
      <c r="G6">
        <f>SUMPRODUCT(Transactions!$D$6:$D$272,(Transactions!$F$6:$F$272=A6),(Transactions!$A$6:$A$272&gt;=06/01/2025),(Transactions!$A$6:$A$272&lt;07/01/2025))</f>
        <v/>
      </c>
    </row>
    <row r="7">
      <c r="A7" t="inlineStr">
        <is>
          <t>Insurance</t>
        </is>
      </c>
      <c r="B7">
        <f>SUMPRODUCT(Transactions!$D$6:$D$272,(Transactions!$F$6:$F$272=A7),(Transactions!$A$6:$A$272&gt;=01/01/2025),(Transactions!$A$6:$A$272&lt;02/01/2025))</f>
        <v/>
      </c>
      <c r="C7">
        <f>SUMPRODUCT(Transactions!$D$6:$D$272,(Transactions!$F$6:$F$272=A7),(Transactions!$A$6:$A$272&gt;=02/01/2025),(Transactions!$A$6:$A$272&lt;03/01/2025))</f>
        <v/>
      </c>
      <c r="D7">
        <f>SUMPRODUCT(Transactions!$D$6:$D$272,(Transactions!$F$6:$F$272=A7),(Transactions!$A$6:$A$272&gt;=03/01/2025),(Transactions!$A$6:$A$272&lt;04/01/2025))</f>
        <v/>
      </c>
      <c r="E7">
        <f>SUMPRODUCT(Transactions!$D$6:$D$272,(Transactions!$F$6:$F$272=A7),(Transactions!$A$6:$A$272&gt;=04/01/2025),(Transactions!$A$6:$A$272&lt;05/01/2025))</f>
        <v/>
      </c>
      <c r="F7">
        <f>SUMPRODUCT(Transactions!$D$6:$D$272,(Transactions!$F$6:$F$272=A7),(Transactions!$A$6:$A$272&gt;=05/01/2025),(Transactions!$A$6:$A$272&lt;06/01/2025))</f>
        <v/>
      </c>
      <c r="G7">
        <f>SUMPRODUCT(Transactions!$D$6:$D$272,(Transactions!$F$6:$F$272=A7),(Transactions!$A$6:$A$272&gt;=06/01/2025),(Transactions!$A$6:$A$272&lt;07/01/2025))</f>
        <v/>
      </c>
    </row>
    <row r="8">
      <c r="A8" t="inlineStr">
        <is>
          <t>Marketing</t>
        </is>
      </c>
      <c r="B8">
        <f>SUMPRODUCT(Transactions!$D$6:$D$272,(Transactions!$F$6:$F$272=A8),(Transactions!$A$6:$A$272&gt;=01/01/2025),(Transactions!$A$6:$A$272&lt;02/01/2025))</f>
        <v/>
      </c>
      <c r="C8">
        <f>SUMPRODUCT(Transactions!$D$6:$D$272,(Transactions!$F$6:$F$272=A8),(Transactions!$A$6:$A$272&gt;=02/01/2025),(Transactions!$A$6:$A$272&lt;03/01/2025))</f>
        <v/>
      </c>
      <c r="D8">
        <f>SUMPRODUCT(Transactions!$D$6:$D$272,(Transactions!$F$6:$F$272=A8),(Transactions!$A$6:$A$272&gt;=03/01/2025),(Transactions!$A$6:$A$272&lt;04/01/2025))</f>
        <v/>
      </c>
      <c r="E8">
        <f>SUMPRODUCT(Transactions!$D$6:$D$272,(Transactions!$F$6:$F$272=A8),(Transactions!$A$6:$A$272&gt;=04/01/2025),(Transactions!$A$6:$A$272&lt;05/01/2025))</f>
        <v/>
      </c>
      <c r="F8">
        <f>SUMPRODUCT(Transactions!$D$6:$D$272,(Transactions!$F$6:$F$272=A8),(Transactions!$A$6:$A$272&gt;=05/01/2025),(Transactions!$A$6:$A$272&lt;06/01/2025))</f>
        <v/>
      </c>
      <c r="G8">
        <f>SUMPRODUCT(Transactions!$D$6:$D$272,(Transactions!$F$6:$F$272=A8),(Transactions!$A$6:$A$272&gt;=06/01/2025),(Transactions!$A$6:$A$272&lt;07/01/2025))</f>
        <v/>
      </c>
    </row>
    <row r="9">
      <c r="A9" t="inlineStr">
        <is>
          <t>Office Supplies</t>
        </is>
      </c>
      <c r="B9">
        <f>SUMPRODUCT(Transactions!$D$6:$D$272,(Transactions!$F$6:$F$272=A9),(Transactions!$A$6:$A$272&gt;=01/01/2025),(Transactions!$A$6:$A$272&lt;02/01/2025))</f>
        <v/>
      </c>
      <c r="C9">
        <f>SUMPRODUCT(Transactions!$D$6:$D$272,(Transactions!$F$6:$F$272=A9),(Transactions!$A$6:$A$272&gt;=02/01/2025),(Transactions!$A$6:$A$272&lt;03/01/2025))</f>
        <v/>
      </c>
      <c r="D9">
        <f>SUMPRODUCT(Transactions!$D$6:$D$272,(Transactions!$F$6:$F$272=A9),(Transactions!$A$6:$A$272&gt;=03/01/2025),(Transactions!$A$6:$A$272&lt;04/01/2025))</f>
        <v/>
      </c>
      <c r="E9">
        <f>SUMPRODUCT(Transactions!$D$6:$D$272,(Transactions!$F$6:$F$272=A9),(Transactions!$A$6:$A$272&gt;=04/01/2025),(Transactions!$A$6:$A$272&lt;05/01/2025))</f>
        <v/>
      </c>
      <c r="F9">
        <f>SUMPRODUCT(Transactions!$D$6:$D$272,(Transactions!$F$6:$F$272=A9),(Transactions!$A$6:$A$272&gt;=05/01/2025),(Transactions!$A$6:$A$272&lt;06/01/2025))</f>
        <v/>
      </c>
      <c r="G9">
        <f>SUMPRODUCT(Transactions!$D$6:$D$272,(Transactions!$F$6:$F$272=A9),(Transactions!$A$6:$A$272&gt;=06/01/2025),(Transactions!$A$6:$A$272&lt;07/01/2025))</f>
        <v/>
      </c>
    </row>
    <row r="10">
      <c r="A10" t="inlineStr">
        <is>
          <t>Payroll</t>
        </is>
      </c>
      <c r="B10">
        <f>SUMPRODUCT(Transactions!$D$6:$D$272,(Transactions!$F$6:$F$272=A10),(Transactions!$A$6:$A$272&gt;=01/01/2025),(Transactions!$A$6:$A$272&lt;02/01/2025))</f>
        <v/>
      </c>
      <c r="C10">
        <f>SUMPRODUCT(Transactions!$D$6:$D$272,(Transactions!$F$6:$F$272=A10),(Transactions!$A$6:$A$272&gt;=02/01/2025),(Transactions!$A$6:$A$272&lt;03/01/2025))</f>
        <v/>
      </c>
      <c r="D10">
        <f>SUMPRODUCT(Transactions!$D$6:$D$272,(Transactions!$F$6:$F$272=A10),(Transactions!$A$6:$A$272&gt;=03/01/2025),(Transactions!$A$6:$A$272&lt;04/01/2025))</f>
        <v/>
      </c>
      <c r="E10">
        <f>SUMPRODUCT(Transactions!$D$6:$D$272,(Transactions!$F$6:$F$272=A10),(Transactions!$A$6:$A$272&gt;=04/01/2025),(Transactions!$A$6:$A$272&lt;05/01/2025))</f>
        <v/>
      </c>
      <c r="F10">
        <f>SUMPRODUCT(Transactions!$D$6:$D$272,(Transactions!$F$6:$F$272=A10),(Transactions!$A$6:$A$272&gt;=05/01/2025),(Transactions!$A$6:$A$272&lt;06/01/2025))</f>
        <v/>
      </c>
      <c r="G10">
        <f>SUMPRODUCT(Transactions!$D$6:$D$272,(Transactions!$F$6:$F$272=A10),(Transactions!$A$6:$A$272&gt;=06/01/2025),(Transactions!$A$6:$A$272&lt;07/01/2025))</f>
        <v/>
      </c>
    </row>
    <row r="11">
      <c r="A11" t="inlineStr">
        <is>
          <t>Repairs</t>
        </is>
      </c>
      <c r="B11">
        <f>SUMPRODUCT(Transactions!$D$6:$D$272,(Transactions!$F$6:$F$272=A11),(Transactions!$A$6:$A$272&gt;=01/01/2025),(Transactions!$A$6:$A$272&lt;02/01/2025))</f>
        <v/>
      </c>
      <c r="C11">
        <f>SUMPRODUCT(Transactions!$D$6:$D$272,(Transactions!$F$6:$F$272=A11),(Transactions!$A$6:$A$272&gt;=02/01/2025),(Transactions!$A$6:$A$272&lt;03/01/2025))</f>
        <v/>
      </c>
      <c r="D11">
        <f>SUMPRODUCT(Transactions!$D$6:$D$272,(Transactions!$F$6:$F$272=A11),(Transactions!$A$6:$A$272&gt;=03/01/2025),(Transactions!$A$6:$A$272&lt;04/01/2025))</f>
        <v/>
      </c>
      <c r="E11">
        <f>SUMPRODUCT(Transactions!$D$6:$D$272,(Transactions!$F$6:$F$272=A11),(Transactions!$A$6:$A$272&gt;=04/01/2025),(Transactions!$A$6:$A$272&lt;05/01/2025))</f>
        <v/>
      </c>
      <c r="F11">
        <f>SUMPRODUCT(Transactions!$D$6:$D$272,(Transactions!$F$6:$F$272=A11),(Transactions!$A$6:$A$272&gt;=05/01/2025),(Transactions!$A$6:$A$272&lt;06/01/2025))</f>
        <v/>
      </c>
      <c r="G11">
        <f>SUMPRODUCT(Transactions!$D$6:$D$272,(Transactions!$F$6:$F$272=A11),(Transactions!$A$6:$A$272&gt;=06/01/2025),(Transactions!$A$6:$A$272&lt;07/01/2025))</f>
        <v/>
      </c>
    </row>
    <row r="12">
      <c r="A12" t="inlineStr">
        <is>
          <t>Utilities</t>
        </is>
      </c>
      <c r="B12">
        <f>SUMPRODUCT(Transactions!$D$6:$D$272,(Transactions!$F$6:$F$272=A12),(Transactions!$A$6:$A$272&gt;=01/01/2025),(Transactions!$A$6:$A$272&lt;02/01/2025))</f>
        <v/>
      </c>
      <c r="C12">
        <f>SUMPRODUCT(Transactions!$D$6:$D$272,(Transactions!$F$6:$F$272=A12),(Transactions!$A$6:$A$272&gt;=02/01/2025),(Transactions!$A$6:$A$272&lt;03/01/2025))</f>
        <v/>
      </c>
      <c r="D12">
        <f>SUMPRODUCT(Transactions!$D$6:$D$272,(Transactions!$F$6:$F$272=A12),(Transactions!$A$6:$A$272&gt;=03/01/2025),(Transactions!$A$6:$A$272&lt;04/01/2025))</f>
        <v/>
      </c>
      <c r="E12">
        <f>SUMPRODUCT(Transactions!$D$6:$D$272,(Transactions!$F$6:$F$272=A12),(Transactions!$A$6:$A$272&gt;=04/01/2025),(Transactions!$A$6:$A$272&lt;05/01/2025))</f>
        <v/>
      </c>
      <c r="F12">
        <f>SUMPRODUCT(Transactions!$D$6:$D$272,(Transactions!$F$6:$F$272=A12),(Transactions!$A$6:$A$272&gt;=05/01/2025),(Transactions!$A$6:$A$272&lt;06/01/2025))</f>
        <v/>
      </c>
      <c r="G12">
        <f>SUMPRODUCT(Transactions!$D$6:$D$272,(Transactions!$F$6:$F$272=A12),(Transactions!$A$6:$A$272&gt;=06/01/2025),(Transactions!$A$6:$A$272&lt;07/01/2025))</f>
        <v/>
      </c>
    </row>
    <row r="13">
      <c r="A13" s="1" t="inlineStr">
        <is>
          <t>Total</t>
        </is>
      </c>
      <c r="B13">
        <f>SUM(B4:B12)</f>
        <v/>
      </c>
      <c r="C13">
        <f>SUM(C4:C12)</f>
        <v/>
      </c>
      <c r="D13">
        <f>SUM(D4:D12)</f>
        <v/>
      </c>
      <c r="E13">
        <f>SUM(E4:E12)</f>
        <v/>
      </c>
      <c r="F13">
        <f>SUM(F4:F12)</f>
        <v/>
      </c>
      <c r="G13">
        <f>SUM(G4:G12)</f>
        <v/>
      </c>
    </row>
    <row r="15">
      <c r="A15" t="inlineStr">
        <is>
          <t>Transaction Count</t>
        </is>
      </c>
      <c r="B15">
        <f>COUNTIFS(Transactions!$A$6:$A$272,"&gt;="&amp;01/01/2025,Transactions!$A$6:$A$272,"&lt;"&amp;02/01/2025)</f>
        <v/>
      </c>
      <c r="C15">
        <f>COUNTIFS(Transactions!$A$6:$A$272,"&gt;="&amp;02/01/2025,Transactions!$A$6:$A$272,"&lt;"&amp;03/01/2025)</f>
        <v/>
      </c>
      <c r="D15">
        <f>COUNTIFS(Transactions!$A$6:$A$272,"&gt;="&amp;03/01/2025,Transactions!$A$6:$A$272,"&lt;"&amp;04/01/2025)</f>
        <v/>
      </c>
      <c r="E15">
        <f>COUNTIFS(Transactions!$A$6:$A$272,"&gt;="&amp;04/01/2025,Transactions!$A$6:$A$272,"&lt;"&amp;05/01/2025)</f>
        <v/>
      </c>
      <c r="F15">
        <f>COUNTIFS(Transactions!$A$6:$A$272,"&gt;="&amp;05/01/2025,Transactions!$A$6:$A$272,"&lt;"&amp;06/01/2025)</f>
        <v/>
      </c>
      <c r="G15">
        <f>COUNTIFS(Transactions!$A$6:$A$272,"&gt;="&amp;06/01/2025,Transactions!$A$6:$A$272,"&lt;"&amp;07/01/2025)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2026-04-07T15:44:12Z</dcterms:created>
  <dcterms:modified xsi:type="dcterms:W3CDTF">2026-04-07T15:44:12Z</dcterms:modified>
</cp:coreProperties>
</file>