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 Build" sheetId="2" state="visible" r:id="rId2"/>
    <sheet name="P&amp;L" sheetId="3" state="visible" r:id="rId3"/>
    <sheet name="Balance Sheet" sheetId="4" state="visible" r:id="rId4"/>
  </sheets>
  <definedNames>
    <definedName name="GrowthRate">Assumptions!$B$12</definedName>
    <definedName name="TaxRate">Assumptions!$B$13</definedName>
    <definedName name="AvgCheck">Assumptions!$B$4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2" fillId="0" borderId="0" pivotButton="0" quotePrefix="0" xfId="0"/>
    <xf numFmtId="0" fontId="2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Assumptions</t>
        </is>
      </c>
    </row>
    <row r="2">
      <c r="A2" s="2" t="n"/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Average Check Size</t>
        </is>
      </c>
      <c r="B4" s="3" t="n">
        <v>42.5</v>
      </c>
      <c r="C4" t="inlineStr">
        <is>
          <t>USD</t>
        </is>
      </c>
    </row>
    <row r="5">
      <c r="A5" t="inlineStr">
        <is>
          <t>Covers Per Day - Weekday</t>
        </is>
      </c>
      <c r="B5" s="3" t="n">
        <v>85</v>
      </c>
      <c r="C5" t="inlineStr">
        <is>
          <t>covers</t>
        </is>
      </c>
    </row>
    <row r="6">
      <c r="A6" t="inlineStr">
        <is>
          <t>Covers Per Day - Weekend</t>
        </is>
      </c>
      <c r="B6" s="3" t="n">
        <v>140</v>
      </c>
      <c r="C6" t="inlineStr">
        <is>
          <t>covers</t>
        </is>
      </c>
    </row>
    <row r="7">
      <c r="A7" t="inlineStr">
        <is>
          <t>Food Cost %</t>
        </is>
      </c>
      <c r="B7" s="3" t="n">
        <v>0.32</v>
      </c>
      <c r="C7" t="inlineStr">
        <is>
          <t>%</t>
        </is>
      </c>
    </row>
    <row r="8">
      <c r="A8" t="inlineStr">
        <is>
          <t>Beverage Cost %</t>
        </is>
      </c>
      <c r="B8" s="3" t="n">
        <v>0.22</v>
      </c>
      <c r="C8" t="inlineStr">
        <is>
          <t>%</t>
        </is>
      </c>
    </row>
    <row r="9">
      <c r="A9" t="inlineStr">
        <is>
          <t>Labor Cost %</t>
        </is>
      </c>
      <c r="B9" s="3" t="n">
        <v>0.28</v>
      </c>
      <c r="C9" t="inlineStr">
        <is>
          <t>%</t>
        </is>
      </c>
    </row>
    <row r="10">
      <c r="A10" t="inlineStr">
        <is>
          <t>Monthly Rent</t>
        </is>
      </c>
      <c r="B10" s="3" t="n">
        <v>8500</v>
      </c>
      <c r="C10" t="inlineStr">
        <is>
          <t>USD</t>
        </is>
      </c>
    </row>
    <row r="11">
      <c r="A11" t="inlineStr">
        <is>
          <t>Annual Growth Rate</t>
        </is>
      </c>
      <c r="B11" s="3" t="n">
        <v>0.05</v>
      </c>
      <c r="C11" t="inlineStr">
        <is>
          <t>%</t>
        </is>
      </c>
    </row>
    <row r="12">
      <c r="A12" t="inlineStr">
        <is>
          <t>Tax Rate</t>
        </is>
      </c>
      <c r="B12" s="3" t="n">
        <v>0.21</v>
      </c>
      <c r="C12" t="inlineStr">
        <is>
          <t>%</t>
        </is>
      </c>
    </row>
    <row r="13">
      <c r="A13" t="inlineStr">
        <is>
          <t>Tip Rate</t>
        </is>
      </c>
      <c r="B13" s="3" t="n">
        <v>0.18</v>
      </c>
      <c r="C13" t="inlineStr">
        <is>
          <t>%</t>
        </is>
      </c>
    </row>
    <row r="14">
      <c r="A14" t="inlineStr">
        <is>
          <t>Weekend Days Per Month</t>
        </is>
      </c>
      <c r="B14" s="3" t="n">
        <v>8</v>
      </c>
      <c r="C14" t="inlineStr">
        <is>
          <t>days</t>
        </is>
      </c>
    </row>
    <row r="15">
      <c r="A15" t="inlineStr">
        <is>
          <t>Weekday Days Per Month</t>
        </is>
      </c>
      <c r="B15" s="3" t="n">
        <v>22</v>
      </c>
      <c r="C15" t="inlineStr">
        <is>
          <t>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Revenue Build</t>
        </is>
      </c>
    </row>
    <row r="3">
      <c r="A3" s="2" t="inlineStr">
        <is>
          <t>Metric</t>
        </is>
      </c>
      <c r="B3" s="4" t="n">
        <v>45658</v>
      </c>
      <c r="C3" s="4" t="n">
        <v>45689</v>
      </c>
      <c r="D3" s="4" t="n">
        <v>45717</v>
      </c>
      <c r="E3" s="4" t="n">
        <v>45748</v>
      </c>
      <c r="F3" s="4" t="n">
        <v>45778</v>
      </c>
      <c r="G3" s="4" t="n">
        <v>45809</v>
      </c>
      <c r="H3" s="4" t="n">
        <v>45839</v>
      </c>
      <c r="I3" s="4" t="n">
        <v>45870</v>
      </c>
      <c r="J3" s="4" t="n">
        <v>45901</v>
      </c>
      <c r="K3" s="4" t="n">
        <v>45931</v>
      </c>
      <c r="L3" s="4" t="n">
        <v>45962</v>
      </c>
      <c r="M3" s="4" t="n">
        <v>45992</v>
      </c>
    </row>
    <row r="4">
      <c r="A4" t="inlineStr">
        <is>
          <t>Weekday Covers</t>
        </is>
      </c>
      <c r="B4">
        <f>Assumptions!B6*Assumptions!B15</f>
        <v/>
      </c>
      <c r="C4">
        <f>Assumptions!B6*Assumptions!B15</f>
        <v/>
      </c>
      <c r="D4">
        <f>Assumptions!B6*Assumptions!B15</f>
        <v/>
      </c>
      <c r="E4">
        <f>Assumptions!B6*Assumptions!B15</f>
        <v/>
      </c>
      <c r="F4">
        <f>Assumptions!B6*Assumptions!B15</f>
        <v/>
      </c>
      <c r="G4">
        <f>Assumptions!B6*Assumptions!B15</f>
        <v/>
      </c>
      <c r="H4">
        <f>Assumptions!B6*Assumptions!B15</f>
        <v/>
      </c>
      <c r="I4">
        <f>Assumptions!B6*Assumptions!B15</f>
        <v/>
      </c>
      <c r="J4">
        <f>Assumptions!B6*Assumptions!B15</f>
        <v/>
      </c>
      <c r="K4">
        <f>Assumptions!B6*Assumptions!B15</f>
        <v/>
      </c>
      <c r="L4">
        <f>Assumptions!B6*Assumptions!B15</f>
        <v/>
      </c>
      <c r="M4">
        <f>Assumptions!B6*Assumptions!B15</f>
        <v/>
      </c>
    </row>
    <row r="5">
      <c r="A5" t="inlineStr">
        <is>
          <t>Weekend Covers</t>
        </is>
      </c>
      <c r="B5">
        <f>Assumptions!B7*Assumptions!B14</f>
        <v/>
      </c>
      <c r="C5">
        <f>Assumptions!B7*Assumptions!B14</f>
        <v/>
      </c>
      <c r="D5">
        <f>Assumptions!B7*Assumptions!B14</f>
        <v/>
      </c>
      <c r="E5">
        <f>Assumptions!B7*Assumptions!B14</f>
        <v/>
      </c>
      <c r="F5">
        <f>Assumptions!B7*Assumptions!B14</f>
        <v/>
      </c>
      <c r="G5">
        <f>Assumptions!B7*Assumptions!B14</f>
        <v/>
      </c>
      <c r="H5">
        <f>Assumptions!B7*Assumptions!B14</f>
        <v/>
      </c>
      <c r="I5">
        <f>Assumptions!B7*Assumptions!B14</f>
        <v/>
      </c>
      <c r="J5">
        <f>Assumptions!B7*Assumptions!B14</f>
        <v/>
      </c>
      <c r="K5">
        <f>Assumptions!B7*Assumptions!B14</f>
        <v/>
      </c>
      <c r="L5">
        <f>Assumptions!B7*Assumptions!B14</f>
        <v/>
      </c>
      <c r="M5">
        <f>Assumptions!B7*Assumptions!B14</f>
        <v/>
      </c>
    </row>
    <row r="6">
      <c r="A6" s="2" t="inlineStr">
        <is>
          <t>Total Covers</t>
        </is>
      </c>
      <c r="B6">
        <f>B4+B5</f>
        <v/>
      </c>
      <c r="C6">
        <f>C4+C5</f>
        <v/>
      </c>
      <c r="D6">
        <f>D4+D5</f>
        <v/>
      </c>
      <c r="E6">
        <f>E4+E5</f>
        <v/>
      </c>
      <c r="F6">
        <f>F4+F5</f>
        <v/>
      </c>
      <c r="G6">
        <f>G4+G5</f>
        <v/>
      </c>
      <c r="H6">
        <f>H4+H5</f>
        <v/>
      </c>
      <c r="I6">
        <f>I4+I5</f>
        <v/>
      </c>
      <c r="J6">
        <f>J4+J5</f>
        <v/>
      </c>
      <c r="K6">
        <f>K4+K5</f>
        <v/>
      </c>
      <c r="L6">
        <f>L4+L5</f>
        <v/>
      </c>
      <c r="M6">
        <f>M4+M5</f>
        <v/>
      </c>
    </row>
    <row r="8">
      <c r="A8" s="2" t="inlineStr">
        <is>
          <t>Gross Revenue</t>
        </is>
      </c>
      <c r="B8">
        <f>B6*Assumptions!B4</f>
        <v/>
      </c>
      <c r="C8">
        <f>C6*Assumptions!B4</f>
        <v/>
      </c>
      <c r="D8">
        <f>D6*Assumptions!B4</f>
        <v/>
      </c>
      <c r="E8">
        <f>E6*Assumptions!B4</f>
        <v/>
      </c>
      <c r="F8">
        <f>F6*Assumptions!B4</f>
        <v/>
      </c>
      <c r="G8">
        <f>G6*Assumptions!B4</f>
        <v/>
      </c>
      <c r="H8">
        <f>H6*Assumptions!B4</f>
        <v/>
      </c>
      <c r="I8">
        <f>I6*Assumptions!B4</f>
        <v/>
      </c>
      <c r="J8">
        <f>J6*Assumptions!B4</f>
        <v/>
      </c>
      <c r="K8">
        <f>K6*Assumptions!B4</f>
        <v/>
      </c>
      <c r="L8">
        <f>L6*Assumptions!B4</f>
        <v/>
      </c>
      <c r="M8">
        <f>M6*Assumptions!B4</f>
        <v/>
      </c>
    </row>
    <row r="9">
      <c r="A9" t="inlineStr">
        <is>
          <t>Food Revenue</t>
        </is>
      </c>
      <c r="B9">
        <f>B8*0.6</f>
        <v/>
      </c>
      <c r="C9">
        <f>C8*0.6</f>
        <v/>
      </c>
      <c r="D9">
        <f>D8*0.6</f>
        <v/>
      </c>
      <c r="E9">
        <f>E8*0.6</f>
        <v/>
      </c>
      <c r="F9">
        <f>F8*0.6</f>
        <v/>
      </c>
      <c r="G9">
        <f>G8*0.6</f>
        <v/>
      </c>
      <c r="H9">
        <f>H8*0.6</f>
        <v/>
      </c>
      <c r="I9">
        <f>I8*0.6</f>
        <v/>
      </c>
      <c r="J9">
        <f>J8*0.6</f>
        <v/>
      </c>
      <c r="K9">
        <f>K8*0.6</f>
        <v/>
      </c>
      <c r="L9">
        <f>L8*0.6</f>
        <v/>
      </c>
      <c r="M9">
        <f>M8*0.6</f>
        <v/>
      </c>
    </row>
    <row r="10">
      <c r="A10" t="inlineStr">
        <is>
          <t>Beverage Revenue</t>
        </is>
      </c>
      <c r="B10">
        <f>B8*0.4</f>
        <v/>
      </c>
      <c r="C10">
        <f>C8*0.4</f>
        <v/>
      </c>
      <c r="D10">
        <f>D8*0.4</f>
        <v/>
      </c>
      <c r="E10">
        <f>E8*0.4</f>
        <v/>
      </c>
      <c r="F10">
        <f>F8*0.4</f>
        <v/>
      </c>
      <c r="G10">
        <f>G8*0.4</f>
        <v/>
      </c>
      <c r="H10">
        <f>H8*0.4</f>
        <v/>
      </c>
      <c r="I10">
        <f>I8*0.4</f>
        <v/>
      </c>
      <c r="J10">
        <f>J8*0.4</f>
        <v/>
      </c>
      <c r="K10">
        <f>K8*0.4</f>
        <v/>
      </c>
      <c r="L10">
        <f>L8*0.4</f>
        <v/>
      </c>
      <c r="M10">
        <f>M8*0.4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&amp; Loss Statement</t>
        </is>
      </c>
    </row>
    <row r="3">
      <c r="A3" s="2" t="inlineStr">
        <is>
          <t>Line Item</t>
        </is>
      </c>
      <c r="B3" s="4" t="n">
        <v>45658</v>
      </c>
      <c r="C3" s="4" t="n">
        <v>45689</v>
      </c>
      <c r="D3" s="4" t="n">
        <v>45717</v>
      </c>
      <c r="E3" s="4" t="n">
        <v>45748</v>
      </c>
      <c r="F3" s="4" t="n">
        <v>45778</v>
      </c>
      <c r="G3" s="4" t="n">
        <v>45809</v>
      </c>
      <c r="H3" s="4" t="n">
        <v>45839</v>
      </c>
      <c r="I3" s="4" t="n">
        <v>45870</v>
      </c>
      <c r="J3" s="4" t="n">
        <v>45901</v>
      </c>
      <c r="K3" s="4" t="n">
        <v>45931</v>
      </c>
      <c r="L3" s="4" t="n">
        <v>45962</v>
      </c>
      <c r="M3" s="4" t="n">
        <v>45992</v>
      </c>
    </row>
    <row r="4">
      <c r="A4" s="5" t="inlineStr">
        <is>
          <t>Gross Revenue</t>
        </is>
      </c>
      <c r="B4">
        <f>'Revenue Build'!B8</f>
        <v/>
      </c>
      <c r="C4">
        <f>'Revenue Build'!C8</f>
        <v/>
      </c>
      <c r="D4">
        <f>'Revenue Build'!D8</f>
        <v/>
      </c>
      <c r="E4">
        <f>'Revenue Build'!E8</f>
        <v/>
      </c>
      <c r="F4">
        <f>'Revenue Build'!F8</f>
        <v/>
      </c>
      <c r="G4">
        <f>'Revenue Build'!G8</f>
        <v/>
      </c>
      <c r="H4">
        <f>'Revenue Build'!H8</f>
        <v/>
      </c>
      <c r="I4">
        <f>'Revenue Build'!I8</f>
        <v/>
      </c>
      <c r="J4">
        <f>'Revenue Build'!J8</f>
        <v/>
      </c>
      <c r="K4">
        <f>'Revenue Build'!K8</f>
        <v/>
      </c>
      <c r="L4">
        <f>'Revenue Build'!L8</f>
        <v/>
      </c>
      <c r="M4">
        <f>'Revenue Build'!M8</f>
        <v/>
      </c>
    </row>
    <row r="5">
      <c r="A5" t="inlineStr">
        <is>
          <t>Food Revenue</t>
        </is>
      </c>
      <c r="B5">
        <f>'Revenue Build'!B9</f>
        <v/>
      </c>
      <c r="C5">
        <f>'Revenue Build'!C9</f>
        <v/>
      </c>
      <c r="D5">
        <f>'Revenue Build'!D9</f>
        <v/>
      </c>
      <c r="E5">
        <f>'Revenue Build'!E9</f>
        <v/>
      </c>
      <c r="F5">
        <f>'Revenue Build'!F9</f>
        <v/>
      </c>
      <c r="G5">
        <f>'Revenue Build'!G9</f>
        <v/>
      </c>
      <c r="H5">
        <f>'Revenue Build'!H9</f>
        <v/>
      </c>
      <c r="I5">
        <f>'Revenue Build'!I9</f>
        <v/>
      </c>
      <c r="J5">
        <f>'Revenue Build'!J9</f>
        <v/>
      </c>
      <c r="K5">
        <f>'Revenue Build'!K9</f>
        <v/>
      </c>
      <c r="L5">
        <f>'Revenue Build'!L9</f>
        <v/>
      </c>
      <c r="M5">
        <f>'Revenue Build'!M9</f>
        <v/>
      </c>
    </row>
    <row r="6">
      <c r="A6" t="inlineStr">
        <is>
          <t>Beverage Revenue</t>
        </is>
      </c>
      <c r="B6">
        <f>'Revenue Build'!B10</f>
        <v/>
      </c>
      <c r="C6">
        <f>'Revenue Build'!C10</f>
        <v/>
      </c>
      <c r="D6">
        <f>'Revenue Build'!D10</f>
        <v/>
      </c>
      <c r="E6">
        <f>'Revenue Build'!E10</f>
        <v/>
      </c>
      <c r="F6">
        <f>'Revenue Build'!F10</f>
        <v/>
      </c>
      <c r="G6">
        <f>'Revenue Build'!G10</f>
        <v/>
      </c>
      <c r="H6">
        <f>'Revenue Build'!H10</f>
        <v/>
      </c>
      <c r="I6">
        <f>'Revenue Build'!I10</f>
        <v/>
      </c>
      <c r="J6">
        <f>'Revenue Build'!J10</f>
        <v/>
      </c>
      <c r="K6">
        <f>'Revenue Build'!K10</f>
        <v/>
      </c>
      <c r="L6">
        <f>'Revenue Build'!L10</f>
        <v/>
      </c>
      <c r="M6">
        <f>'Revenue Build'!M10</f>
        <v/>
      </c>
    </row>
    <row r="7">
      <c r="A7" t="inlineStr"/>
    </row>
    <row r="8">
      <c r="A8" s="5" t="inlineStr">
        <is>
          <t>Cost of Goods Sold</t>
        </is>
      </c>
    </row>
    <row r="9">
      <c r="A9" t="inlineStr">
        <is>
          <t>Food COGS</t>
        </is>
      </c>
      <c r="B9">
        <f>B5*Assumptions!B8</f>
        <v/>
      </c>
      <c r="C9">
        <f>C5*Assumptions!B8</f>
        <v/>
      </c>
      <c r="D9">
        <f>D5*Assumptions!B8</f>
        <v/>
      </c>
      <c r="E9">
        <f>E5*Assumptions!B8</f>
        <v/>
      </c>
      <c r="F9">
        <f>F5*Assumptions!B8</f>
        <v/>
      </c>
      <c r="G9">
        <f>G5*Assumptions!B8</f>
        <v/>
      </c>
      <c r="H9">
        <f>H5*Assumptions!B8</f>
        <v/>
      </c>
      <c r="I9">
        <f>I5*Assumptions!B8</f>
        <v/>
      </c>
      <c r="J9">
        <f>J5*Assumptions!B8</f>
        <v/>
      </c>
      <c r="K9">
        <f>K5*Assumptions!B8</f>
        <v/>
      </c>
      <c r="L9">
        <f>L5*Assumptions!B8</f>
        <v/>
      </c>
      <c r="M9">
        <f>M5*Assumptions!B8</f>
        <v/>
      </c>
    </row>
    <row r="10">
      <c r="A10" t="inlineStr">
        <is>
          <t>Beverage COGS</t>
        </is>
      </c>
      <c r="B10">
        <f>B6*Assumptions!B9</f>
        <v/>
      </c>
      <c r="C10">
        <f>C6*Assumptions!B9</f>
        <v/>
      </c>
      <c r="D10">
        <f>D6*Assumptions!B9</f>
        <v/>
      </c>
      <c r="E10">
        <f>E6*Assumptions!B9</f>
        <v/>
      </c>
      <c r="F10">
        <f>F6*Assumptions!B9</f>
        <v/>
      </c>
      <c r="G10">
        <f>G6*Assumptions!B9</f>
        <v/>
      </c>
      <c r="H10">
        <f>H6*Assumptions!B9</f>
        <v/>
      </c>
      <c r="I10">
        <f>I6*Assumptions!B9</f>
        <v/>
      </c>
      <c r="J10">
        <f>J6*Assumptions!B9</f>
        <v/>
      </c>
      <c r="K10">
        <f>K6*Assumptions!B9</f>
        <v/>
      </c>
      <c r="L10">
        <f>L6*Assumptions!B9</f>
        <v/>
      </c>
      <c r="M10">
        <f>M6*Assumptions!B9</f>
        <v/>
      </c>
    </row>
    <row r="11">
      <c r="A11" s="5" t="inlineStr">
        <is>
          <t>Total COGS</t>
        </is>
      </c>
      <c r="B11">
        <f>B9+B10</f>
        <v/>
      </c>
      <c r="C11">
        <f>C9+C10</f>
        <v/>
      </c>
      <c r="D11">
        <f>D9+D10</f>
        <v/>
      </c>
      <c r="E11">
        <f>E9+E10</f>
        <v/>
      </c>
      <c r="F11">
        <f>F9+F10</f>
        <v/>
      </c>
      <c r="G11">
        <f>G9+G10</f>
        <v/>
      </c>
      <c r="H11">
        <f>H9+H10</f>
        <v/>
      </c>
      <c r="I11">
        <f>I9+I10</f>
        <v/>
      </c>
      <c r="J11">
        <f>J9+J10</f>
        <v/>
      </c>
      <c r="K11">
        <f>K9+K10</f>
        <v/>
      </c>
      <c r="L11">
        <f>L9+L10</f>
        <v/>
      </c>
      <c r="M11">
        <f>M9+M10</f>
        <v/>
      </c>
    </row>
    <row r="12">
      <c r="A12" t="inlineStr"/>
    </row>
    <row r="13">
      <c r="A13" s="5" t="inlineStr">
        <is>
          <t>Gross Profit</t>
        </is>
      </c>
      <c r="B13">
        <f>B4-B11</f>
        <v/>
      </c>
      <c r="C13">
        <f>C4-C11</f>
        <v/>
      </c>
      <c r="D13">
        <f>D4-D11</f>
        <v/>
      </c>
      <c r="E13">
        <f>E4-E11</f>
        <v/>
      </c>
      <c r="F13">
        <f>F4-F11</f>
        <v/>
      </c>
      <c r="G13">
        <f>G4-G11</f>
        <v/>
      </c>
      <c r="H13">
        <f>H4-H11</f>
        <v/>
      </c>
      <c r="I13">
        <f>I4-I11</f>
        <v/>
      </c>
      <c r="J13">
        <f>J4-J11</f>
        <v/>
      </c>
      <c r="K13">
        <f>K4-K11</f>
        <v/>
      </c>
      <c r="L13">
        <f>L4-L11</f>
        <v/>
      </c>
      <c r="M13">
        <f>M4-M11</f>
        <v/>
      </c>
    </row>
    <row r="14">
      <c r="A14" t="inlineStr">
        <is>
          <t>Gross Margin %</t>
        </is>
      </c>
      <c r="B14">
        <f>B13/B4</f>
        <v/>
      </c>
      <c r="C14">
        <f>C13/C4</f>
        <v/>
      </c>
      <c r="D14">
        <f>D13/D4</f>
        <v/>
      </c>
      <c r="E14">
        <f>E13/E4</f>
        <v/>
      </c>
      <c r="F14">
        <f>F13/F4</f>
        <v/>
      </c>
      <c r="G14">
        <f>G13/G4</f>
        <v/>
      </c>
      <c r="H14">
        <f>H13/H4</f>
        <v/>
      </c>
      <c r="I14">
        <f>I13/I4</f>
        <v/>
      </c>
      <c r="J14">
        <f>J13/J4</f>
        <v/>
      </c>
      <c r="K14">
        <f>K13/K4</f>
        <v/>
      </c>
      <c r="L14">
        <f>L13/L4</f>
        <v/>
      </c>
      <c r="M14">
        <f>M13/M4</f>
        <v/>
      </c>
    </row>
    <row r="15">
      <c r="A15" t="inlineStr"/>
    </row>
    <row r="16">
      <c r="A16" s="5" t="inlineStr">
        <is>
          <t>Operating Expenses</t>
        </is>
      </c>
    </row>
    <row r="17">
      <c r="A17" t="inlineStr">
        <is>
          <t>Labor</t>
        </is>
      </c>
      <c r="B17">
        <f>B4*Assumptions!B10</f>
        <v/>
      </c>
      <c r="C17">
        <f>C4*Assumptions!B10</f>
        <v/>
      </c>
      <c r="D17">
        <f>D4*Assumptions!B10</f>
        <v/>
      </c>
      <c r="E17">
        <f>E4*Assumptions!B10</f>
        <v/>
      </c>
      <c r="F17">
        <f>F4*Assumptions!B10</f>
        <v/>
      </c>
      <c r="G17">
        <f>G4*Assumptions!B10</f>
        <v/>
      </c>
      <c r="H17">
        <f>H4*Assumptions!B10</f>
        <v/>
      </c>
      <c r="I17">
        <f>I4*Assumptions!B10</f>
        <v/>
      </c>
      <c r="J17">
        <f>J4*Assumptions!B10</f>
        <v/>
      </c>
      <c r="K17">
        <f>K4*Assumptions!B10</f>
        <v/>
      </c>
      <c r="L17">
        <f>L4*Assumptions!B10</f>
        <v/>
      </c>
      <c r="M17">
        <f>M4*Assumptions!B10</f>
        <v/>
      </c>
    </row>
    <row r="18">
      <c r="A18" t="inlineStr">
        <is>
          <t>Rent</t>
        </is>
      </c>
      <c r="B18">
        <f>Assumptions!B11</f>
        <v/>
      </c>
      <c r="C18">
        <f>Assumptions!B11</f>
        <v/>
      </c>
      <c r="D18">
        <f>Assumptions!B11</f>
        <v/>
      </c>
      <c r="E18">
        <f>Assumptions!B11</f>
        <v/>
      </c>
      <c r="F18">
        <f>Assumptions!B11</f>
        <v/>
      </c>
      <c r="G18">
        <f>Assumptions!B11</f>
        <v/>
      </c>
      <c r="H18">
        <f>Assumptions!B11</f>
        <v/>
      </c>
      <c r="I18">
        <f>Assumptions!B11</f>
        <v/>
      </c>
      <c r="J18">
        <f>Assumptions!B11</f>
        <v/>
      </c>
      <c r="K18">
        <f>Assumptions!B11</f>
        <v/>
      </c>
      <c r="L18">
        <f>Assumptions!B11</f>
        <v/>
      </c>
      <c r="M18">
        <f>Assumptions!B11</f>
        <v/>
      </c>
    </row>
    <row r="19">
      <c r="A19" t="inlineStr">
        <is>
          <t>Utilities</t>
        </is>
      </c>
      <c r="B19" t="n">
        <v>1549.57</v>
      </c>
      <c r="C19" t="n">
        <v>2973.13</v>
      </c>
      <c r="D19" t="n">
        <v>2164.37</v>
      </c>
      <c r="E19" t="n">
        <v>3361.63</v>
      </c>
      <c r="F19" t="n">
        <v>3104.47</v>
      </c>
      <c r="G19" t="n">
        <v>3228.13</v>
      </c>
      <c r="H19" t="n">
        <v>3121.5</v>
      </c>
      <c r="I19" t="n">
        <v>2033.61</v>
      </c>
      <c r="J19" t="n">
        <v>3074.75</v>
      </c>
      <c r="K19" t="n">
        <v>1716.19</v>
      </c>
      <c r="L19" t="n">
        <v>3244.33</v>
      </c>
      <c r="M19" t="n">
        <v>3217.19</v>
      </c>
    </row>
    <row r="20">
      <c r="A20" t="inlineStr">
        <is>
          <t>Marketing</t>
        </is>
      </c>
      <c r="B20" t="n">
        <v>1178.14</v>
      </c>
      <c r="C20" t="n">
        <v>2188.2</v>
      </c>
      <c r="D20" t="n">
        <v>1582.52</v>
      </c>
      <c r="E20" t="n">
        <v>1318.82</v>
      </c>
      <c r="F20" t="n">
        <v>2152.09</v>
      </c>
      <c r="G20" t="n">
        <v>1186.91</v>
      </c>
      <c r="H20" t="n">
        <v>840.23</v>
      </c>
      <c r="I20" t="n">
        <v>1128.32</v>
      </c>
      <c r="J20" t="n">
        <v>1358.05</v>
      </c>
      <c r="K20" t="n">
        <v>2269.4</v>
      </c>
      <c r="L20" t="n">
        <v>2443.71</v>
      </c>
      <c r="M20" t="n">
        <v>1274.51</v>
      </c>
    </row>
    <row r="21">
      <c r="A21" t="inlineStr">
        <is>
          <t>Other OpEx</t>
        </is>
      </c>
      <c r="B21" t="n">
        <v>877.33</v>
      </c>
      <c r="C21" t="n">
        <v>659.71</v>
      </c>
      <c r="D21" t="n">
        <v>1183.03</v>
      </c>
      <c r="E21" t="n">
        <v>782.59</v>
      </c>
      <c r="F21" t="n">
        <v>1145.31</v>
      </c>
      <c r="G21" t="n">
        <v>403.81</v>
      </c>
      <c r="H21">
        <f>G21*1.1</f>
        <v/>
      </c>
      <c r="I21" t="n">
        <v>460.71</v>
      </c>
      <c r="J21" t="n">
        <v>1166.28</v>
      </c>
      <c r="K21" t="n">
        <v>538.92</v>
      </c>
      <c r="L21" t="n">
        <v>397.56</v>
      </c>
      <c r="M21" t="n">
        <v>691.11</v>
      </c>
    </row>
    <row r="22">
      <c r="A22" s="5" t="inlineStr">
        <is>
          <t>Total Operating Expenses</t>
        </is>
      </c>
      <c r="B22">
        <f>SUM(B17:B21)</f>
        <v/>
      </c>
      <c r="C22">
        <f>SUM(C17:C21)</f>
        <v/>
      </c>
      <c r="D22">
        <f>SUM(D17:D21)</f>
        <v/>
      </c>
      <c r="E22">
        <f>SUM(E17:E21)</f>
        <v/>
      </c>
      <c r="F22">
        <f>SUM(F17:F21)</f>
        <v/>
      </c>
      <c r="G22">
        <f>SUM(G17:G21)</f>
        <v/>
      </c>
      <c r="H22">
        <f>SUM(H17:H21)</f>
        <v/>
      </c>
      <c r="I22">
        <f>SUM(I17:I21)</f>
        <v/>
      </c>
      <c r="J22">
        <f>SUM(J17:J21)</f>
        <v/>
      </c>
      <c r="K22">
        <f>SUM(K17:K21)</f>
        <v/>
      </c>
      <c r="L22">
        <f>SUM(L17:L21)</f>
        <v/>
      </c>
      <c r="M22">
        <f>SUM(M17:M21)</f>
        <v/>
      </c>
    </row>
    <row r="23">
      <c r="A23" t="inlineStr"/>
    </row>
    <row r="24">
      <c r="A24" s="5" t="inlineStr">
        <is>
          <t>Operating Income</t>
        </is>
      </c>
      <c r="B24">
        <f>B13-B22</f>
        <v/>
      </c>
      <c r="C24">
        <f>C13-C22</f>
        <v/>
      </c>
      <c r="D24">
        <f>D13-D22</f>
        <v/>
      </c>
      <c r="E24">
        <f>E13-E22</f>
        <v/>
      </c>
      <c r="F24">
        <f>F13-F22</f>
        <v/>
      </c>
      <c r="G24">
        <f>G13-G22</f>
        <v/>
      </c>
      <c r="H24">
        <f>H13-H22</f>
        <v/>
      </c>
      <c r="I24">
        <f>I13-I22</f>
        <v/>
      </c>
      <c r="J24">
        <f>J13-J22</f>
        <v/>
      </c>
      <c r="K24">
        <f>K13-K22</f>
        <v/>
      </c>
      <c r="L24">
        <f>L13-L22</f>
        <v/>
      </c>
      <c r="M24">
        <f>M13-M22</f>
        <v/>
      </c>
    </row>
    <row r="25">
      <c r="A25" t="inlineStr">
        <is>
          <t>Tax</t>
        </is>
      </c>
      <c r="B25">
        <f>B23*Assumptions!B12</f>
        <v/>
      </c>
      <c r="C25">
        <f>C23*Assumptions!B12</f>
        <v/>
      </c>
      <c r="D25">
        <f>D23*Assumptions!B12</f>
        <v/>
      </c>
      <c r="E25">
        <f>E23*Assumptions!B12</f>
        <v/>
      </c>
      <c r="F25">
        <f>F23*Assumptions!B12</f>
        <v/>
      </c>
      <c r="G25">
        <f>G23*Assumptions!B12</f>
        <v/>
      </c>
      <c r="H25">
        <f>H23*Assumptions!B12</f>
        <v/>
      </c>
      <c r="I25">
        <f>I23*Assumptions!B12</f>
        <v/>
      </c>
      <c r="J25">
        <f>J23*Assumptions!B12</f>
        <v/>
      </c>
      <c r="K25">
        <f>K23*Assumptions!B12</f>
        <v/>
      </c>
      <c r="L25">
        <f>L23*Assumptions!B12</f>
        <v/>
      </c>
      <c r="M25">
        <f>M23*Assumptions!B12</f>
        <v/>
      </c>
    </row>
    <row r="26">
      <c r="A26" t="inlineStr"/>
    </row>
    <row r="27">
      <c r="A27" s="5" t="inlineStr">
        <is>
          <t>Net Income</t>
        </is>
      </c>
      <c r="B27">
        <f>B23-B24</f>
        <v/>
      </c>
      <c r="C27">
        <f>C23-C24</f>
        <v/>
      </c>
      <c r="D27">
        <f>D23-D24</f>
        <v/>
      </c>
      <c r="E27">
        <f>E23-E24</f>
        <v/>
      </c>
      <c r="F27">
        <f>F23-F24</f>
        <v/>
      </c>
      <c r="G27">
        <f>G23-G24</f>
        <v/>
      </c>
      <c r="H27">
        <f>H23-H24</f>
        <v/>
      </c>
      <c r="I27">
        <f>I23-I24</f>
        <v/>
      </c>
      <c r="J27">
        <f>J23-J24</f>
        <v/>
      </c>
      <c r="K27">
        <f>K23-K24</f>
        <v/>
      </c>
      <c r="L27">
        <f>L23-L24</f>
        <v/>
      </c>
      <c r="M27">
        <f>M23-M24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</t>
        </is>
      </c>
    </row>
    <row r="3">
      <c r="A3" t="inlineStr"/>
      <c r="B3" s="6" t="n">
        <v>45658</v>
      </c>
      <c r="C3" s="6" t="n">
        <v>45689</v>
      </c>
      <c r="D3" s="6" t="n">
        <v>45717</v>
      </c>
      <c r="E3" s="6" t="n">
        <v>45748</v>
      </c>
      <c r="F3" s="6" t="n">
        <v>45778</v>
      </c>
      <c r="G3" s="6" t="n">
        <v>45809</v>
      </c>
      <c r="H3" s="6" t="n">
        <v>45839</v>
      </c>
      <c r="I3" s="6" t="n">
        <v>45870</v>
      </c>
      <c r="J3" s="6" t="n">
        <v>45901</v>
      </c>
      <c r="K3" s="6" t="n">
        <v>45931</v>
      </c>
      <c r="L3" s="6" t="n">
        <v>45962</v>
      </c>
      <c r="M3" s="6" t="n">
        <v>45992</v>
      </c>
    </row>
    <row r="4">
      <c r="A4" s="2" t="inlineStr">
        <is>
          <t>Total Assets</t>
        </is>
      </c>
      <c r="B4" t="n">
        <v>222854.51</v>
      </c>
      <c r="C4" t="n">
        <v>181367.73</v>
      </c>
      <c r="D4" t="n">
        <v>210620.89</v>
      </c>
      <c r="E4" t="n">
        <v>201142.31</v>
      </c>
      <c r="F4" t="n">
        <v>188519.54</v>
      </c>
      <c r="G4" t="n">
        <v>207658.8</v>
      </c>
      <c r="H4" t="n">
        <v>175472.25</v>
      </c>
      <c r="I4" t="n">
        <v>220878.53</v>
      </c>
      <c r="J4" t="n">
        <v>150169.13</v>
      </c>
      <c r="K4" t="n">
        <v>242557.52</v>
      </c>
      <c r="L4" t="n">
        <v>203845.2</v>
      </c>
      <c r="M4" t="n">
        <v>221943</v>
      </c>
    </row>
    <row r="5">
      <c r="A5" s="2" t="inlineStr">
        <is>
          <t>Total Liabilities</t>
        </is>
      </c>
      <c r="B5" t="n">
        <v>135757.01</v>
      </c>
      <c r="C5" t="n">
        <v>97836.3</v>
      </c>
      <c r="D5" t="n">
        <v>142409.82</v>
      </c>
      <c r="E5" t="n">
        <v>147643.62</v>
      </c>
      <c r="F5" t="n">
        <v>105307.66</v>
      </c>
      <c r="G5" t="n">
        <v>141148.8</v>
      </c>
      <c r="H5" t="n">
        <v>109776.47</v>
      </c>
      <c r="I5" t="n">
        <v>128477.77</v>
      </c>
      <c r="J5" t="n">
        <v>64181.42</v>
      </c>
      <c r="K5" t="n">
        <v>177541.41</v>
      </c>
      <c r="L5" t="n">
        <v>138380.97</v>
      </c>
      <c r="M5" t="n">
        <v>151523.35</v>
      </c>
    </row>
    <row r="6">
      <c r="A6" s="2" t="inlineStr">
        <is>
          <t>Total Equity</t>
        </is>
      </c>
      <c r="B6" t="n">
        <v>87097.5</v>
      </c>
      <c r="C6" t="n">
        <v>83531.42999999999</v>
      </c>
      <c r="D6" t="n">
        <v>68211.07000000001</v>
      </c>
      <c r="E6" t="n">
        <v>53498.69</v>
      </c>
      <c r="F6" t="n">
        <v>83211.88</v>
      </c>
      <c r="G6" t="n">
        <v>66510</v>
      </c>
      <c r="H6" t="n">
        <v>65695.78</v>
      </c>
      <c r="I6" t="n">
        <v>92400.75999999999</v>
      </c>
      <c r="J6" t="n">
        <v>85987.71000000001</v>
      </c>
      <c r="K6" t="n">
        <v>65016.11</v>
      </c>
      <c r="L6" t="n">
        <v>65464.23</v>
      </c>
      <c r="M6" t="n">
        <v>70419.64999999999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2026-04-07T15:44:12Z</dcterms:created>
  <dcterms:modified xsi:type="dcterms:W3CDTF">2026-04-07T15:44:12Z</dcterms:modified>
</cp:coreProperties>
</file>